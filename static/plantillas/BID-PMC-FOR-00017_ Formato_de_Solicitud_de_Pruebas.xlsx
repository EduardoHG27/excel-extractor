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drawings/drawing2.xml" ContentType="application/vnd.openxmlformats-officedocument.drawing+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omments1.xml" ContentType="application/vnd.openxmlformats-officedocument.spreadsheetml.comments+xml"/>
  <Override PartName="/xl/drawings/drawing3.xml" ContentType="application/vnd.openxmlformats-officedocument.drawing+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showInkAnnotation="0" codeName="ThisWorkbook" defaultThemeVersion="166925"/>
  <mc:AlternateContent xmlns:mc="http://schemas.openxmlformats.org/markup-compatibility/2006">
    <mc:Choice Requires="x15">
      <x15ac:absPath xmlns:x15ac="http://schemas.microsoft.com/office/spreadsheetml/2010/11/ac" url="C:\Users\BID-eduardo.hernande\Desktop\"/>
    </mc:Choice>
  </mc:AlternateContent>
  <xr:revisionPtr revIDLastSave="0" documentId="8_{5DBB08D4-948A-416B-9386-6C671D86EAC7}" xr6:coauthVersionLast="47" xr6:coauthVersionMax="47" xr10:uidLastSave="{00000000-0000-0000-0000-000000000000}"/>
  <bookViews>
    <workbookView xWindow="19090" yWindow="-110" windowWidth="19420" windowHeight="10300" firstSheet="1" activeTab="1" xr2:uid="{174D9EE4-28BD-4DE1-BF18-35170CA27939}"/>
  </bookViews>
  <sheets>
    <sheet name="Control de Cambios" sheetId="13" state="hidden" r:id="rId1"/>
    <sheet name="Solicitud de Pruebas V4" sheetId="7" r:id="rId2"/>
    <sheet name="Instructivo" sheetId="10" r:id="rId3"/>
    <sheet name="Ejemplo" sheetId="11" r:id="rId4"/>
    <sheet name="Utileria" sheetId="6" r:id="rId5"/>
  </sheets>
  <externalReferences>
    <externalReference r:id="rId6"/>
  </externalReferences>
  <definedNames>
    <definedName name="mAcambios">OFFSET([1]catalogo!$A$1,1,0,COUNTA([1]catalogo!$A:$A)-1,1)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6" i="7" l="1"/>
  <c r="F6" i="7"/>
  <c r="B18" i="7" l="1"/>
  <c r="B9" i="7"/>
  <c r="D35" i="11" l="1"/>
  <c r="D40" i="10"/>
  <c r="C38" i="11"/>
  <c r="C37" i="11"/>
  <c r="C43" i="10"/>
  <c r="C42" i="10"/>
  <c r="B38" i="11" l="1"/>
  <c r="B37" i="11"/>
  <c r="B43" i="10"/>
  <c r="B42"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BID</author>
  </authors>
  <commentList>
    <comment ref="C9" authorId="0" shapeId="0" xr:uid="{E9AD423D-2C3F-4727-ACDC-6EBC7104EDA5}">
      <text>
        <r>
          <rPr>
            <b/>
            <sz val="9"/>
            <color indexed="81"/>
            <rFont val="Tahoma"/>
            <family val="2"/>
          </rPr>
          <t>BID:</t>
        </r>
        <r>
          <rPr>
            <sz val="9"/>
            <color indexed="81"/>
            <rFont val="Tahoma"/>
            <family val="2"/>
          </rPr>
          <t xml:space="preserve">
Seleccionar el nombre del cliente para el cual se solicita el cambio o requerimiento</t>
        </r>
      </text>
    </comment>
    <comment ref="H9" authorId="0" shapeId="0" xr:uid="{AE1E2D99-0B30-4CC4-A030-820D11C89EB8}">
      <text>
        <r>
          <rPr>
            <b/>
            <sz val="9"/>
            <color indexed="81"/>
            <rFont val="Tahoma"/>
            <family val="2"/>
          </rPr>
          <t>BID:</t>
        </r>
        <r>
          <rPr>
            <sz val="9"/>
            <color indexed="81"/>
            <rFont val="Tahoma"/>
            <family val="2"/>
          </rPr>
          <t xml:space="preserve">
Seleccionar el nombre del proyecto asignado para el cual se solicita el cambio o requerimiento</t>
        </r>
      </text>
    </comment>
    <comment ref="M9" authorId="0" shapeId="0" xr:uid="{A00FD1F5-B3ED-4799-BFEE-476232582369}">
      <text>
        <r>
          <rPr>
            <b/>
            <sz val="9"/>
            <color indexed="81"/>
            <rFont val="Tahoma"/>
            <family val="2"/>
          </rPr>
          <t>BID:</t>
        </r>
        <r>
          <rPr>
            <sz val="9"/>
            <color indexed="81"/>
            <rFont val="Tahoma"/>
            <family val="2"/>
          </rPr>
          <t xml:space="preserve">
Indicar la fecha de envío de la solicitud</t>
        </r>
      </text>
    </comment>
    <comment ref="M10" authorId="0" shapeId="0" xr:uid="{AA56E25E-380C-45A6-BC05-ED4AC88D9343}">
      <text>
        <r>
          <rPr>
            <b/>
            <sz val="9"/>
            <color indexed="81"/>
            <rFont val="Tahoma"/>
            <family val="2"/>
          </rPr>
          <t xml:space="preserve">BID:
</t>
        </r>
        <r>
          <rPr>
            <sz val="9"/>
            <color indexed="81"/>
            <rFont val="Tahoma"/>
            <family val="2"/>
          </rPr>
          <t>Indicar la hora de envío de la solicitud</t>
        </r>
      </text>
    </comment>
    <comment ref="K14" authorId="0" shapeId="0" xr:uid="{985ED94B-39FE-421C-891F-DE3547DA7FD6}">
      <text>
        <r>
          <rPr>
            <b/>
            <sz val="9"/>
            <color indexed="81"/>
            <rFont val="Tahoma"/>
            <family val="2"/>
          </rPr>
          <t>BID:</t>
        </r>
        <r>
          <rPr>
            <sz val="9"/>
            <color indexed="81"/>
            <rFont val="Tahoma"/>
            <family val="2"/>
          </rPr>
          <t xml:space="preserve">
Seleccionar en caso de requerir documentación para compartir con el cliente</t>
        </r>
      </text>
    </comment>
    <comment ref="D16" authorId="0" shapeId="0" xr:uid="{A6F117E5-44BD-4DDC-B804-811C0270D7E9}">
      <text>
        <r>
          <rPr>
            <b/>
            <sz val="9"/>
            <color indexed="81"/>
            <rFont val="Tahoma"/>
            <family val="2"/>
          </rPr>
          <t>BID:</t>
        </r>
        <r>
          <rPr>
            <sz val="9"/>
            <color indexed="81"/>
            <rFont val="Tahoma"/>
            <family val="2"/>
          </rPr>
          <t xml:space="preserve">
Indicar el nombre de la persona de DEV que libera y dará seguimiento</t>
        </r>
      </text>
    </comment>
    <comment ref="J16" authorId="0" shapeId="0" xr:uid="{1A0DE1DE-69E8-468A-A886-1FB35F7DABB8}">
      <text>
        <r>
          <rPr>
            <b/>
            <sz val="9"/>
            <color indexed="81"/>
            <rFont val="Tahoma"/>
            <family val="2"/>
          </rPr>
          <t>BID:</t>
        </r>
        <r>
          <rPr>
            <sz val="9"/>
            <color indexed="81"/>
            <rFont val="Tahoma"/>
            <family val="2"/>
          </rPr>
          <t xml:space="preserve">
Indicar el nombre de la persona responsable del proyecto en general</t>
        </r>
      </text>
    </comment>
    <comment ref="B19" authorId="0" shapeId="0" xr:uid="{75509F5A-5035-4583-BC7A-33E8FF302B1F}">
      <text>
        <r>
          <rPr>
            <b/>
            <sz val="9"/>
            <color indexed="81"/>
            <rFont val="Tahoma"/>
            <family val="2"/>
          </rPr>
          <t xml:space="preserve">BID:
</t>
        </r>
        <r>
          <rPr>
            <sz val="9"/>
            <color indexed="81"/>
            <rFont val="Tahoma"/>
            <family val="2"/>
          </rPr>
          <t>Llenar cuando se trate de cambios en aplicaciones</t>
        </r>
      </text>
    </comment>
    <comment ref="D21" authorId="0" shapeId="0" xr:uid="{E4412F80-3707-4F75-8687-334BF94244EA}">
      <text>
        <r>
          <rPr>
            <b/>
            <sz val="9"/>
            <color indexed="81"/>
            <rFont val="Tahoma"/>
            <family val="2"/>
          </rPr>
          <t>BID:</t>
        </r>
        <r>
          <rPr>
            <sz val="9"/>
            <color indexed="81"/>
            <rFont val="Tahoma"/>
            <family val="2"/>
          </rPr>
          <t xml:space="preserve">
Seleccionar el aplicativo sobre el cual se harán las pruebas</t>
        </r>
      </text>
    </comment>
    <comment ref="M21" authorId="0" shapeId="0" xr:uid="{C7C250AF-1678-4318-BEB6-3CCC16689269}">
      <text>
        <r>
          <rPr>
            <b/>
            <sz val="9"/>
            <color indexed="81"/>
            <rFont val="Tahoma"/>
            <family val="2"/>
          </rPr>
          <t>BID:</t>
        </r>
        <r>
          <rPr>
            <sz val="9"/>
            <color indexed="81"/>
            <rFont val="Tahoma"/>
            <family val="2"/>
          </rPr>
          <t xml:space="preserve">
Indicar el número de versión en la que se encuentra el desarrollo en el momento de la solicitud, posteriormente se llevará un contrl de las versiones liberadas en el dictamen</t>
        </r>
      </text>
    </comment>
    <comment ref="D24" authorId="0" shapeId="0" xr:uid="{2D57DA8B-9CAF-4D99-900B-8ABB3E86F841}">
      <text>
        <r>
          <rPr>
            <b/>
            <sz val="9"/>
            <color indexed="81"/>
            <rFont val="Tahoma"/>
            <family val="2"/>
          </rPr>
          <t>BID:</t>
        </r>
        <r>
          <rPr>
            <sz val="9"/>
            <color indexed="81"/>
            <rFont val="Tahoma"/>
            <family val="2"/>
          </rPr>
          <t xml:space="preserve">
Indicar la funcionalidad  que se desea tenga el producto.</t>
        </r>
      </text>
    </comment>
    <comment ref="D27" authorId="0" shapeId="0" xr:uid="{BF5C3766-B8C7-4E55-85FF-CCC8C750D74D}">
      <text>
        <r>
          <rPr>
            <b/>
            <sz val="9"/>
            <color indexed="81"/>
            <rFont val="Tahoma"/>
            <family val="2"/>
          </rPr>
          <t>BID:</t>
        </r>
        <r>
          <rPr>
            <sz val="9"/>
            <color indexed="81"/>
            <rFont val="Tahoma"/>
            <family val="2"/>
          </rPr>
          <t xml:space="preserve">
Indicar detalles de los cambios como integraciones, si son servicios backend, etc.)</t>
        </r>
      </text>
    </comment>
    <comment ref="D30" authorId="0" shapeId="0" xr:uid="{EE29D746-8D27-4840-B416-4FC9F35FCF5A}">
      <text>
        <r>
          <rPr>
            <b/>
            <sz val="9"/>
            <color indexed="81"/>
            <rFont val="Tahoma"/>
            <family val="2"/>
          </rPr>
          <t>BID:</t>
        </r>
        <r>
          <rPr>
            <sz val="9"/>
            <color indexed="81"/>
            <rFont val="Tahoma"/>
            <family val="2"/>
          </rPr>
          <t xml:space="preserve">
Indicar el motivo por el cual se están realizando los cambios</t>
        </r>
      </text>
    </comment>
    <comment ref="D33" authorId="0" shapeId="0" xr:uid="{B8C6780C-4534-4A99-B897-256D0A96CEC7}">
      <text>
        <r>
          <rPr>
            <b/>
            <sz val="9"/>
            <color indexed="81"/>
            <rFont val="Tahoma"/>
            <family val="2"/>
          </rPr>
          <t>BID:</t>
        </r>
        <r>
          <rPr>
            <sz val="9"/>
            <color indexed="81"/>
            <rFont val="Tahoma"/>
            <family val="2"/>
          </rPr>
          <t xml:space="preserve">
Indicar los puntos importantes sobre el desarrollo como: reglas de negocio específicas del cliente, detalles importantes sobre el diseño de la solución, etc.</t>
        </r>
      </text>
    </comment>
    <comment ref="D37" authorId="0" shapeId="0" xr:uid="{9A7B700D-A2F0-4E2C-A393-1998B7EE7000}">
      <text>
        <r>
          <rPr>
            <b/>
            <sz val="9"/>
            <color indexed="81"/>
            <rFont val="Tahoma"/>
            <family val="2"/>
          </rPr>
          <t>BID:</t>
        </r>
        <r>
          <rPr>
            <sz val="9"/>
            <color indexed="81"/>
            <rFont val="Tahoma"/>
            <family val="2"/>
          </rPr>
          <t xml:space="preserve">
Indicar los puntos pendientes por liberar (cuando aplique),  funcionalidad pendiente y la fase en la que se encuentra (diseño/desarrollo)</t>
        </r>
      </text>
    </comment>
    <comment ref="B40" authorId="0" shapeId="0" xr:uid="{6295FB91-76CF-48D8-837E-4C7E7010CBDF}">
      <text>
        <r>
          <rPr>
            <b/>
            <sz val="9"/>
            <color indexed="81"/>
            <rFont val="Tahoma"/>
            <family val="2"/>
          </rPr>
          <t>BID:</t>
        </r>
        <r>
          <rPr>
            <sz val="9"/>
            <color indexed="81"/>
            <rFont val="Tahoma"/>
            <family val="2"/>
          </rPr>
          <t xml:space="preserve">
Este campo se completará al seleccionar el campo de "Proyecto"  e indica los insumos que se deben adjuntar para que la solicitud pueda ser atendida. En  caso de no incluirlos, la solicitud será rechazada.</t>
        </r>
      </text>
    </comment>
    <comment ref="B45" authorId="0" shapeId="0" xr:uid="{81D0C5BF-D1C1-40BF-B31B-F4C4D67C1848}">
      <text>
        <r>
          <rPr>
            <b/>
            <sz val="9"/>
            <color indexed="81"/>
            <rFont val="Tahoma"/>
            <family val="2"/>
          </rPr>
          <t>BID:</t>
        </r>
        <r>
          <rPr>
            <sz val="9"/>
            <color indexed="81"/>
            <rFont val="Tahoma"/>
            <family val="2"/>
          </rPr>
          <t xml:space="preserve">
Llenar cuando se trate de pruebas en servicios especificos</t>
        </r>
      </text>
    </comment>
    <comment ref="D47" authorId="0" shapeId="0" xr:uid="{28ADD07B-EF1A-4BF0-90F9-967E5EACF4F8}">
      <text>
        <r>
          <rPr>
            <b/>
            <sz val="9"/>
            <color indexed="81"/>
            <rFont val="Tahoma"/>
            <family val="2"/>
          </rPr>
          <t>BID:</t>
        </r>
        <r>
          <rPr>
            <sz val="9"/>
            <color indexed="81"/>
            <rFont val="Tahoma"/>
            <family val="2"/>
          </rPr>
          <t xml:space="preserve">
Indicar el nombre del servicio a liberar</t>
        </r>
      </text>
    </comment>
    <comment ref="J47" authorId="0" shapeId="0" xr:uid="{8018A47A-9368-4AA4-93CA-020710840E50}">
      <text>
        <r>
          <rPr>
            <b/>
            <sz val="9"/>
            <color indexed="81"/>
            <rFont val="Tahoma"/>
            <family val="2"/>
          </rPr>
          <t>BID:</t>
        </r>
        <r>
          <rPr>
            <sz val="9"/>
            <color indexed="81"/>
            <rFont val="Tahoma"/>
            <family val="2"/>
          </rPr>
          <t xml:space="preserve">
Indicar el nombre de la persona responsable del mantenimiento del servicio.</t>
        </r>
      </text>
    </comment>
    <comment ref="D49" authorId="0" shapeId="0" xr:uid="{19351EE4-0D4D-4927-9B28-ED67FBC8D5BE}">
      <text>
        <r>
          <rPr>
            <b/>
            <sz val="9"/>
            <color indexed="81"/>
            <rFont val="Tahoma"/>
            <family val="2"/>
          </rPr>
          <t>BID:</t>
        </r>
        <r>
          <rPr>
            <sz val="9"/>
            <color indexed="81"/>
            <rFont val="Tahoma"/>
            <family val="2"/>
          </rPr>
          <t xml:space="preserve">
Indicar una breve descripción de la funcionalidad del servicio a liberar.</t>
        </r>
      </text>
    </comment>
  </commentList>
</comments>
</file>

<file path=xl/sharedStrings.xml><?xml version="1.0" encoding="utf-8"?>
<sst xmlns="http://schemas.openxmlformats.org/spreadsheetml/2006/main" count="214" uniqueCount="150">
  <si>
    <t>Nombre de Servicio</t>
  </si>
  <si>
    <t>Cliente</t>
  </si>
  <si>
    <t>Proyecto</t>
  </si>
  <si>
    <t>Cetelem</t>
  </si>
  <si>
    <t>Fecha Solicitud</t>
  </si>
  <si>
    <t>Responsable Solicitud</t>
  </si>
  <si>
    <t>Teknei</t>
  </si>
  <si>
    <t>Exitus</t>
  </si>
  <si>
    <t>Formato de Solicitud de Pruebas QA</t>
  </si>
  <si>
    <t>Tipo de Requerimiento</t>
  </si>
  <si>
    <t>Tipo de Aplicación</t>
  </si>
  <si>
    <t>Portal WEB</t>
  </si>
  <si>
    <t>App - IOS</t>
  </si>
  <si>
    <t>App - Android</t>
  </si>
  <si>
    <t>Puntos a Considerar:</t>
  </si>
  <si>
    <t>Pendientes:</t>
  </si>
  <si>
    <t>Servicio</t>
  </si>
  <si>
    <t>Otro</t>
  </si>
  <si>
    <t xml:space="preserve">1.-
2.- </t>
  </si>
  <si>
    <t>Soporte Back</t>
  </si>
  <si>
    <t>Dueño</t>
  </si>
  <si>
    <t>Clave del Documento</t>
  </si>
  <si>
    <t>Nivel de Seguridad</t>
  </si>
  <si>
    <t>Buro de Identidad Digital</t>
  </si>
  <si>
    <t>BID-PMC-FORM-00017</t>
  </si>
  <si>
    <t>Privada</t>
  </si>
  <si>
    <t>Datos de Solicitud</t>
  </si>
  <si>
    <t>Tipo de Pruebas</t>
  </si>
  <si>
    <t>Tipo de Solicitud</t>
  </si>
  <si>
    <t>Nuevo producto</t>
  </si>
  <si>
    <t>Área Solicitante</t>
  </si>
  <si>
    <t>Hora Solicitud</t>
  </si>
  <si>
    <t>Mantenimiento</t>
  </si>
  <si>
    <t>Nuevo Release</t>
  </si>
  <si>
    <t>10:15hrs</t>
  </si>
  <si>
    <t>1.2.0</t>
  </si>
  <si>
    <t>Servicio OCR</t>
  </si>
  <si>
    <t>Detalles de Servicio</t>
  </si>
  <si>
    <t>Versión</t>
  </si>
  <si>
    <t>Líder de Proyecto</t>
  </si>
  <si>
    <t>Información de Aplicación</t>
  </si>
  <si>
    <t>Descripción de los Cambios a Validar</t>
  </si>
  <si>
    <t>1.- Liberación del modulo de Autenticación con Huellas</t>
  </si>
  <si>
    <t>información de Ambiente (Servicios)</t>
  </si>
  <si>
    <t>Se agrega funcionalidad de almacenamiento en data operation, se agregan nuevos parámetros.</t>
  </si>
  <si>
    <t xml:space="preserve">Justificación del cambio </t>
  </si>
  <si>
    <t xml:space="preserve">Funcionalidad de la liberación del producto desarrollado </t>
  </si>
  <si>
    <t>Número de Versión</t>
  </si>
  <si>
    <t xml:space="preserve">1.- 
2.-
3.- </t>
  </si>
  <si>
    <t>Insumos</t>
  </si>
  <si>
    <t>Ordenes con data de ONIX</t>
  </si>
  <si>
    <t>Ambientación de tarea desde Portal o Acceso a Portal para ambientar tareas</t>
  </si>
  <si>
    <t>Usuario y Contraseña para acceder a la aplicación.</t>
  </si>
  <si>
    <t>Folio ligado al usuario, adicionales datos del folio con datos reales y pertenecientes al equipo de QA.</t>
  </si>
  <si>
    <t>Folio de Empleado ligado al usuario, adicionales datos del folio con datos reales y pertenecientes al equipo de QA</t>
  </si>
  <si>
    <t>Usuario y contraseña</t>
  </si>
  <si>
    <t>Folio ligado al usuario, adicional ese folio debe de contener datos del miembro de QA.</t>
  </si>
  <si>
    <t>Folio de cotización</t>
  </si>
  <si>
    <t>Usuario de PDV</t>
  </si>
  <si>
    <t>Folio de Cotización Cetelem click</t>
  </si>
  <si>
    <t>No.</t>
  </si>
  <si>
    <t>Insumos Requeridos</t>
  </si>
  <si>
    <t xml:space="preserve">Solución a incidente </t>
  </si>
  <si>
    <t>Implementación de un cambio</t>
  </si>
  <si>
    <t>Funcionalidad adicional</t>
  </si>
  <si>
    <t>Detalle de los cambios</t>
  </si>
  <si>
    <t>Bryan Guzman</t>
  </si>
  <si>
    <t>Información de Ambiente (Servicios)</t>
  </si>
  <si>
    <t>Algunos puntos considerar que difieren del proceso original de enrolamiento serán los siguientes:
1. Todas los llamados y actualizaciones se harán con la operación creada para el proceso de actualización, teniendo como referencia la operación del enrolamiento original, esto con el fin de no tocar el estatus del procedimiento original
2. Con respecto al punto anterior, solo los guardados en Alfresco tomaran la operación original para hacer el guardado sobre el expediente original.
3. Al encontrarse un enrolamiento, siempre se toma la ultima operación encontrada, por lo que, en el apartado de búsqueda, se verán los estatus de las operaciones creadas de actualización de datos y no del procedimiento original del enrolamiento
4. Para evitar que los procesos encontrados sean sobre operaciones creadas de manera posterior, siempre al iniciar un proceso de actualización, se buscara la operación de referencia hasta encontrar una que no tenga, la cual será la del enrolamiento original.
5. Para evitar que estos procesos encontrados sean tomados como procesos truncos, todos los estatus de las operaciones creadas para la actualización serán con un code VALIDATED, pues estos solo serán para actualizar datos y no deberían de impactar con los datos originales a menos que se termine el proceso</t>
  </si>
  <si>
    <t>Bryan Guzmán</t>
  </si>
  <si>
    <t>Funcionalidad dentro de Aplicación:
- Enrolamiento de Clientes y Ejecutivos
- Consulta al INE
- Extracción de OCR
- Validación de Correo
- Consulta a RENAPO
- Login de Usuario y Huellas
- Firma de Ordenes</t>
  </si>
  <si>
    <t>Se agregan las siguientes modificaciones/cambios:
1.- Actualización AXC
• Se cambia la opción para aparecer como un Fab Icono en la parte inferior derecha de la pantalla junto con la opción de ID si esta está presente
2.- Actualización de Identificaciones:
• Se añade un módulo apartado del principal de enrolamiento para manejar la actualización de una identificación de un enrolamiento previo, siguiendo algunas reglas:
o Flujo solo para enrolamientos finalizados con un estatus code VALIDATED (En enrolamiento solo se encuentra con sequenceId 15)
o Dependiendo del tipo de enrolamiento se pedirá o no huellas de manera inicial para validar que el enrolamiento encontrado sea de la misma persona que intenta actualizar
o De acuerdo con el punto anterior, se verificará que en las observaciones de Person venga alguna autorización de gerente y el tipo de excepción.
o En caso de realizar una búsqueda de cliente, si la selección es por huellas, el enrolamiento encontrado se saltará la validación de huellas y se redirige automáticamente a captura facial, pues al haberse encontrado por motor, ya no sería necesaria una segunda validación de huellas
o Captura facial permanecerá con la funcionalidad anterior, con la única diferencia de que se realizará una comprobación con la captura en el expediente de Alfresco para comprobar la coincidencia de ambas capturas, para lo cual se procederá a actualizar la captura en el expediente, solo si hay coincidencia, esto con el propósito de mantener una captura facial actualizada para validar vs la identificación en un paso posterior.
o Captura de identificaciones permanece con la misma funcionalidad
o Formulario de OCR tendrá una validación extra con los datos por lo que la nueva identificación desde el OCR solo tomara los campos de Nombre, Apellidos y CURP como validos si coinciden con el expediente original y se vuelve a ingresar la validación de cambios para evitar que estos campos sean borrados para coincidir
o Se omite la generación de RFC, actualización de Person y guardado de documentos en este apartado, para ser guardados solo hasta que todas las validaciones estén correctas
o Validación de INE permanece idéntico
o Resultado de identificaciones, se añade el guardado en Alfresco de los documentos en este apartado, así como la actualización de Person si la validación fue satisfactoria, posterior a estas actualizaciones el flujo de actualización termina.</t>
  </si>
  <si>
    <t>Se identifico un alto número de tickets para el cambio de ejecutivo y actualización de identificación. Con esto se pretende dar solución y reducir el número incidentes y tickets reportados en MA. Adicional se consideran algunos fixes para este nuevo release de aplicación.</t>
  </si>
  <si>
    <t>Financiera Bepensa</t>
  </si>
  <si>
    <t>Desarrollo</t>
  </si>
  <si>
    <t>Infraestructura</t>
  </si>
  <si>
    <t xml:space="preserve">Proyectos </t>
  </si>
  <si>
    <t>Pruebas de Funcionalidad</t>
  </si>
  <si>
    <t xml:space="preserve">Pruebas de Integración </t>
  </si>
  <si>
    <t xml:space="preserve">Pruebas de Regresión </t>
  </si>
  <si>
    <t xml:space="preserve">Pruebas de No afectación </t>
  </si>
  <si>
    <t xml:space="preserve">Pruebas de Rendimiento </t>
  </si>
  <si>
    <t xml:space="preserve">Pruebas de Compatibilidad </t>
  </si>
  <si>
    <t>Pruebas de Cambios Integrados + Regresión</t>
  </si>
  <si>
    <t>Pruebas de Funcionalidad + Regresión</t>
  </si>
  <si>
    <t xml:space="preserve">Pruebas - Otros </t>
  </si>
  <si>
    <t>Tipo de servicio</t>
  </si>
  <si>
    <t>Planeada</t>
  </si>
  <si>
    <t>No planeada</t>
  </si>
  <si>
    <t>Antonio González</t>
  </si>
  <si>
    <t>¡ATENCIÓN! Para que tu solicitud sea atendida es necesario adjuntar los insumos que a continuación se muestran, en caso de no hacerlo, se puede incurrir en retrasos.</t>
  </si>
  <si>
    <t>App- Android &amp; IOS</t>
  </si>
  <si>
    <t>1. CONTROL DE CAMBIOS</t>
  </si>
  <si>
    <t>Fecha</t>
  </si>
  <si>
    <t>Alcance del cambio</t>
  </si>
  <si>
    <t>Descripción del cambio</t>
  </si>
  <si>
    <t>Actualización al contenido del documento</t>
  </si>
  <si>
    <t>Emisión inicial del formato</t>
  </si>
  <si>
    <t>01</t>
  </si>
  <si>
    <t>02</t>
  </si>
  <si>
    <t xml:space="preserve">Actualización al contenido del documento y cambio de formato </t>
  </si>
  <si>
    <t>Se cambia de un documento de Word a uno de Excel. Se integran los campos de Funcionalidad de la liberación del producto desarrollado, Detalle de los cambios, Justificación del cambio, Puntos a Considerar e Insumos Requeridos</t>
  </si>
  <si>
    <t>Actualización al contenido del documentos</t>
  </si>
  <si>
    <t xml:space="preserve">Se agregaron proyectos y se agrego la opción de "¿Cuál?" al seleccionar Otro.  </t>
  </si>
  <si>
    <t>03</t>
  </si>
  <si>
    <t>Se agregan clientes y proyectos</t>
  </si>
  <si>
    <t>04</t>
  </si>
  <si>
    <t>Viraal</t>
  </si>
  <si>
    <t>Telefónica Movistar México</t>
  </si>
  <si>
    <t>Bradesco</t>
  </si>
  <si>
    <t>Paga Phone</t>
  </si>
  <si>
    <t>Banco Sabadell</t>
  </si>
  <si>
    <t>Super Apoyo</t>
  </si>
  <si>
    <t>Fundación Rafael Dondé</t>
  </si>
  <si>
    <t>B2C</t>
  </si>
  <si>
    <t>Dealer Web</t>
  </si>
  <si>
    <t>Soho PM</t>
  </si>
  <si>
    <t>Soho PFAE</t>
  </si>
  <si>
    <t>Mercurio Recolecciones</t>
  </si>
  <si>
    <t>Telemarketing</t>
  </si>
  <si>
    <t>Mercurio Crediticio</t>
  </si>
  <si>
    <t>Cambio de SIM Canal Propio</t>
  </si>
  <si>
    <t>Cambio de SIM Canal Especialista</t>
  </si>
  <si>
    <t>B2B</t>
  </si>
  <si>
    <t>Captura de huellas</t>
  </si>
  <si>
    <t>Contratación Digital</t>
  </si>
  <si>
    <t>NOM 035</t>
  </si>
  <si>
    <t>Contratación Digital España</t>
  </si>
  <si>
    <t>API - OCR ID</t>
  </si>
  <si>
    <t>Enrolamiento No Presencial  Webapp</t>
  </si>
  <si>
    <t>API - SMS Individual</t>
  </si>
  <si>
    <t>API - SMS Masivo</t>
  </si>
  <si>
    <t>API - Motor Biométrico Dactilar</t>
  </si>
  <si>
    <t>API - Consulta INE</t>
  </si>
  <si>
    <t>API - Firma Electrónica</t>
  </si>
  <si>
    <t>API - Alfresco</t>
  </si>
  <si>
    <t>Entrolamiento Presencial Webapp</t>
  </si>
  <si>
    <t>FINBE</t>
  </si>
  <si>
    <t>FINBE ABC</t>
  </si>
  <si>
    <t>ñ</t>
  </si>
  <si>
    <t>Soporte</t>
  </si>
  <si>
    <t>Otro - Telefónica</t>
  </si>
  <si>
    <t>Portal administrativo</t>
  </si>
  <si>
    <t>Portal de embozado</t>
  </si>
  <si>
    <t>Reconocimiento óptico de caracteres</t>
  </si>
  <si>
    <t>Enrolamiento presencial</t>
  </si>
  <si>
    <t>Enrolamiento online</t>
  </si>
  <si>
    <t>Otro - Bradesco</t>
  </si>
  <si>
    <t>Otro - BID</t>
  </si>
  <si>
    <t>Desvinculación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</si>
</sst>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d\-mmm\-yyyy;@"/>
    <numFmt numFmtId="165" formatCode="[$-409]dd\-mmm\-yy;@"/>
  </numFmts>
  <fonts count="19" x14ac:knownFonts="1">
    <font>
      <sz val="11"/>
      <color theme="1"/>
      <name val="Calibri"/>
      <family val="2"/>
      <scheme val="minor"/>
    </font>
    <font>
      <b/>
      <sz val="11"/>
      <color theme="1"/>
      <name val="Calibri"/>
      <family val="2"/>
      <scheme val="minor"/>
    </font>
    <font>
      <b/>
      <sz val="11"/>
      <color theme="0"/>
      <name val="Calibri"/>
      <family val="2"/>
      <scheme val="minor"/>
    </font>
    <font>
      <sz val="13"/>
      <color theme="1"/>
      <name val="Calibri"/>
      <family val="2"/>
      <scheme val="minor"/>
    </font>
    <font>
      <b/>
      <sz val="9"/>
      <color indexed="81"/>
      <name val="Tahoma"/>
      <family val="2"/>
    </font>
    <font>
      <b/>
      <sz val="12"/>
      <color theme="2" tint="-0.749992370372631"/>
      <name val="Calibri"/>
      <family val="2"/>
      <scheme val="minor"/>
    </font>
    <font>
      <sz val="11"/>
      <name val="Calibri"/>
      <family val="2"/>
      <scheme val="minor"/>
    </font>
    <font>
      <b/>
      <sz val="11"/>
      <color rgb="FFFF0000"/>
      <name val="Calibri"/>
      <family val="2"/>
      <scheme val="minor"/>
    </font>
    <font>
      <sz val="8"/>
      <color rgb="FF000000"/>
      <name val="Segoe UI"/>
      <family val="2"/>
    </font>
    <font>
      <b/>
      <sz val="11"/>
      <name val="Calibri"/>
      <family val="2"/>
      <scheme val="minor"/>
    </font>
    <font>
      <sz val="9"/>
      <color indexed="81"/>
      <name val="Tahoma"/>
      <family val="2"/>
    </font>
    <font>
      <sz val="11"/>
      <color rgb="FFFF0000"/>
      <name val="Calibri"/>
      <family val="2"/>
      <scheme val="minor"/>
    </font>
    <font>
      <sz val="11"/>
      <color rgb="FF0070C0"/>
      <name val="Calibri"/>
      <family val="2"/>
      <scheme val="minor"/>
    </font>
    <font>
      <sz val="13"/>
      <color rgb="FF0070C0"/>
      <name val="Calibri"/>
      <family val="2"/>
      <scheme val="minor"/>
    </font>
    <font>
      <sz val="12"/>
      <color theme="1"/>
      <name val="Calibri"/>
      <family val="2"/>
      <scheme val="minor"/>
    </font>
    <font>
      <b/>
      <sz val="10"/>
      <color theme="1"/>
      <name val="Arial"/>
      <family val="2"/>
    </font>
    <font>
      <sz val="10"/>
      <color theme="1"/>
      <name val="Arial"/>
      <family val="2"/>
    </font>
    <font>
      <b/>
      <sz val="10"/>
      <color theme="0"/>
      <name val="Arial"/>
      <family val="2"/>
    </font>
    <font>
      <u/>
      <sz val="11"/>
      <color theme="10"/>
      <name val="Calibri"/>
      <family val="2"/>
      <scheme val="minor"/>
    </font>
  </fonts>
  <fills count="12">
    <fill>
      <patternFill patternType="none"/>
    </fill>
    <fill>
      <patternFill patternType="gray125"/>
    </fill>
    <fill>
      <patternFill patternType="solid">
        <fgColor theme="4" tint="-0.499984740745262"/>
        <bgColor indexed="64"/>
      </patternFill>
    </fill>
    <fill>
      <patternFill patternType="solid">
        <fgColor theme="0"/>
        <bgColor indexed="64"/>
      </patternFill>
    </fill>
    <fill>
      <patternFill patternType="solid">
        <fgColor theme="2" tint="-0.749992370372631"/>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8"/>
        <bgColor indexed="64"/>
      </patternFill>
    </fill>
    <fill>
      <patternFill patternType="solid">
        <fgColor theme="4" tint="-0.249977111117893"/>
        <bgColor indexed="64"/>
      </patternFill>
    </fill>
    <fill>
      <patternFill patternType="solid">
        <fgColor rgb="FF0296E0"/>
        <bgColor indexed="64"/>
      </patternFill>
    </fill>
    <fill>
      <patternFill patternType="solid">
        <fgColor theme="4" tint="0.7999816888943144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top/>
      <bottom style="medium">
        <color auto="1"/>
      </bottom>
      <diagonal/>
    </border>
    <border>
      <left/>
      <right/>
      <top/>
      <bottom style="thin">
        <color indexed="64"/>
      </bottom>
      <diagonal/>
    </border>
    <border>
      <left/>
      <right/>
      <top style="thin">
        <color indexed="64"/>
      </top>
      <bottom style="thin">
        <color indexed="64"/>
      </bottom>
      <diagonal/>
    </border>
    <border>
      <left/>
      <right/>
      <top/>
      <bottom style="thin">
        <color theme="0" tint="-0.249977111117893"/>
      </bottom>
      <diagonal/>
    </border>
    <border>
      <left style="thin">
        <color theme="0" tint="-0.249977111117893"/>
      </left>
      <right style="thin">
        <color theme="0" tint="-0.249977111117893"/>
      </right>
      <top style="thin">
        <color theme="0" tint="-0.249977111117893"/>
      </top>
      <bottom/>
      <diagonal/>
    </border>
    <border>
      <left/>
      <right/>
      <top style="thin">
        <color theme="8"/>
      </top>
      <bottom/>
      <diagonal/>
    </border>
    <border>
      <left/>
      <right/>
      <top style="thin">
        <color theme="8"/>
      </top>
      <bottom style="thin">
        <color theme="8"/>
      </bottom>
      <diagonal/>
    </border>
    <border>
      <left style="thin">
        <color theme="4" tint="-0.249977111117893"/>
      </left>
      <right/>
      <top/>
      <bottom/>
      <diagonal/>
    </border>
  </borders>
  <cellStyleXfs count="3">
    <xf numFmtId="0" fontId="0" fillId="0" borderId="0"/>
    <xf numFmtId="0" fontId="14" fillId="0" borderId="0"/>
    <xf numFmtId="0" fontId="18" fillId="0" borderId="0" applyNumberFormat="0" applyFill="0" applyBorder="0" applyAlignment="0" applyProtection="0"/>
  </cellStyleXfs>
  <cellXfs count="81">
    <xf numFmtId="0" fontId="0" fillId="0" borderId="0" xfId="0"/>
    <xf numFmtId="0" fontId="3" fillId="0" borderId="0" xfId="0" applyFont="1"/>
    <xf numFmtId="0" fontId="0" fillId="0" borderId="0" xfId="0" applyProtection="1">
      <protection locked="0"/>
    </xf>
    <xf numFmtId="0" fontId="0" fillId="4" borderId="0" xfId="0" applyFill="1" applyProtection="1">
      <protection locked="0"/>
    </xf>
    <xf numFmtId="0" fontId="2" fillId="2" borderId="0" xfId="0" applyFont="1" applyFill="1" applyAlignment="1" applyProtection="1">
      <alignment horizontal="left"/>
      <protection locked="0"/>
    </xf>
    <xf numFmtId="0" fontId="0" fillId="0" borderId="0" xfId="0" applyAlignment="1" applyProtection="1">
      <alignment horizontal="left"/>
      <protection locked="0"/>
    </xf>
    <xf numFmtId="0" fontId="2" fillId="0" borderId="0" xfId="0" applyFont="1" applyAlignment="1" applyProtection="1">
      <alignment horizontal="left"/>
      <protection locked="0"/>
    </xf>
    <xf numFmtId="0" fontId="2" fillId="2" borderId="0" xfId="0" applyFont="1" applyFill="1" applyProtection="1">
      <protection locked="0"/>
    </xf>
    <xf numFmtId="0" fontId="2" fillId="0" borderId="0" xfId="0" applyFont="1" applyProtection="1">
      <protection locked="0"/>
    </xf>
    <xf numFmtId="0" fontId="0" fillId="0" borderId="0" xfId="0" applyAlignment="1" applyProtection="1">
      <alignment vertical="top" wrapText="1"/>
      <protection locked="0"/>
    </xf>
    <xf numFmtId="0" fontId="0" fillId="0" borderId="0" xfId="0" applyAlignment="1" applyProtection="1">
      <alignment horizontal="left" vertical="top"/>
      <protection locked="0"/>
    </xf>
    <xf numFmtId="0" fontId="2" fillId="0" borderId="0" xfId="0" applyFont="1" applyAlignment="1" applyProtection="1">
      <alignment horizontal="center"/>
      <protection locked="0"/>
    </xf>
    <xf numFmtId="0" fontId="9" fillId="0" borderId="0" xfId="0" applyFont="1" applyAlignment="1" applyProtection="1">
      <alignment horizontal="right"/>
      <protection hidden="1"/>
    </xf>
    <xf numFmtId="0" fontId="0" fillId="0" borderId="0" xfId="0" applyAlignment="1" applyProtection="1">
      <alignment horizontal="center"/>
      <protection locked="0"/>
    </xf>
    <xf numFmtId="0" fontId="7" fillId="0" borderId="0" xfId="0" applyFont="1" applyAlignment="1" applyProtection="1">
      <alignment vertical="top"/>
      <protection locked="0"/>
    </xf>
    <xf numFmtId="0" fontId="0" fillId="5" borderId="0" xfId="0" applyFill="1"/>
    <xf numFmtId="0" fontId="0" fillId="6" borderId="0" xfId="0" applyFill="1"/>
    <xf numFmtId="0" fontId="0" fillId="7" borderId="0" xfId="0" applyFill="1"/>
    <xf numFmtId="0" fontId="0" fillId="8" borderId="0" xfId="0" applyFill="1"/>
    <xf numFmtId="0" fontId="0" fillId="9" borderId="0" xfId="0" applyFill="1"/>
    <xf numFmtId="0" fontId="11" fillId="0" borderId="0" xfId="0" applyFont="1"/>
    <xf numFmtId="0" fontId="12" fillId="0" borderId="0" xfId="0" applyFont="1"/>
    <xf numFmtId="0" fontId="1" fillId="0" borderId="0" xfId="0" applyFont="1"/>
    <xf numFmtId="0" fontId="0" fillId="0" borderId="1" xfId="0" applyBorder="1" applyAlignment="1">
      <alignment horizontal="left" vertical="center" wrapText="1"/>
    </xf>
    <xf numFmtId="0" fontId="0" fillId="0" borderId="0" xfId="0" quotePrefix="1"/>
    <xf numFmtId="0" fontId="15" fillId="0" borderId="0" xfId="1" applyFont="1" applyAlignment="1" applyProtection="1">
      <alignment horizontal="left" vertical="center"/>
      <protection locked="0"/>
    </xf>
    <xf numFmtId="0" fontId="16" fillId="0" borderId="0" xfId="1" applyFont="1" applyAlignment="1" applyProtection="1">
      <alignment horizontal="right" vertical="top"/>
      <protection locked="0"/>
    </xf>
    <xf numFmtId="0" fontId="16" fillId="0" borderId="0" xfId="1" applyFont="1" applyAlignment="1" applyProtection="1">
      <alignment horizontal="left" vertical="top"/>
      <protection locked="0"/>
    </xf>
    <xf numFmtId="0" fontId="16" fillId="0" borderId="0" xfId="1" applyFont="1" applyAlignment="1" applyProtection="1">
      <alignment horizontal="center" vertical="top"/>
      <protection locked="0"/>
    </xf>
    <xf numFmtId="0" fontId="16" fillId="0" borderId="0" xfId="1" applyFont="1" applyProtection="1">
      <protection locked="0"/>
    </xf>
    <xf numFmtId="0" fontId="17" fillId="10" borderId="6" xfId="1" applyFont="1" applyFill="1" applyBorder="1" applyAlignment="1" applyProtection="1">
      <alignment horizontal="center" vertical="center" wrapText="1"/>
      <protection locked="0"/>
    </xf>
    <xf numFmtId="164" fontId="16" fillId="0" borderId="1" xfId="1" applyNumberFormat="1" applyFont="1" applyBorder="1" applyAlignment="1" applyProtection="1">
      <alignment horizontal="center" vertical="top"/>
      <protection locked="0"/>
    </xf>
    <xf numFmtId="0" fontId="16" fillId="0" borderId="1" xfId="1" applyFont="1" applyBorder="1" applyAlignment="1" applyProtection="1">
      <alignment horizontal="left" vertical="top" wrapText="1"/>
      <protection locked="0"/>
    </xf>
    <xf numFmtId="165" fontId="16" fillId="0" borderId="1" xfId="1" quotePrefix="1" applyNumberFormat="1" applyFont="1" applyBorder="1" applyAlignment="1" applyProtection="1">
      <alignment horizontal="center" vertical="center" wrapText="1"/>
      <protection locked="0"/>
    </xf>
    <xf numFmtId="49" fontId="16" fillId="0" borderId="1" xfId="1" applyNumberFormat="1" applyFont="1" applyBorder="1" applyAlignment="1" applyProtection="1">
      <alignment horizontal="center" vertical="center" wrapText="1"/>
      <protection locked="0"/>
    </xf>
    <xf numFmtId="0" fontId="6" fillId="0" borderId="5" xfId="0" applyFont="1" applyBorder="1" applyAlignment="1" applyProtection="1">
      <alignment horizontal="center"/>
      <protection locked="0"/>
    </xf>
    <xf numFmtId="0" fontId="0" fillId="0" borderId="0" xfId="0" applyAlignment="1">
      <alignment horizontal="left" vertical="center" wrapText="1"/>
    </xf>
    <xf numFmtId="0" fontId="0" fillId="0" borderId="7" xfId="0" applyBorder="1"/>
    <xf numFmtId="0" fontId="0" fillId="0" borderId="8" xfId="0" applyBorder="1"/>
    <xf numFmtId="0" fontId="13" fillId="0" borderId="0" xfId="0" applyFont="1"/>
    <xf numFmtId="0" fontId="0" fillId="0" borderId="1" xfId="0" applyBorder="1"/>
    <xf numFmtId="0" fontId="18" fillId="0" borderId="9" xfId="2" applyBorder="1" applyAlignment="1" applyProtection="1">
      <protection locked="0"/>
    </xf>
    <xf numFmtId="0" fontId="18" fillId="0" borderId="0" xfId="2" applyBorder="1" applyAlignment="1" applyProtection="1">
      <protection locked="0"/>
    </xf>
    <xf numFmtId="0" fontId="2" fillId="0" borderId="0" xfId="0" applyFont="1" applyAlignment="1" applyProtection="1">
      <alignment horizontal="left"/>
      <protection locked="0"/>
    </xf>
    <xf numFmtId="0" fontId="6" fillId="0" borderId="5" xfId="0" applyFont="1" applyBorder="1" applyAlignment="1" applyProtection="1">
      <alignment horizontal="center"/>
      <protection locked="0"/>
    </xf>
    <xf numFmtId="0" fontId="2" fillId="2" borderId="0" xfId="0" applyFont="1" applyFill="1" applyAlignment="1" applyProtection="1">
      <alignment horizontal="center"/>
      <protection locked="0"/>
    </xf>
    <xf numFmtId="0" fontId="2" fillId="2" borderId="0" xfId="0" applyFont="1" applyFill="1" applyAlignment="1" applyProtection="1">
      <alignment horizontal="left"/>
      <protection locked="0"/>
    </xf>
    <xf numFmtId="14" fontId="1" fillId="0" borderId="3" xfId="0" applyNumberFormat="1" applyFont="1" applyBorder="1" applyAlignment="1" applyProtection="1">
      <alignment horizontal="center"/>
      <protection locked="0"/>
    </xf>
    <xf numFmtId="0" fontId="2" fillId="2" borderId="0" xfId="0" applyFont="1" applyFill="1" applyAlignment="1" applyProtection="1">
      <alignment horizontal="center" vertical="center"/>
      <protection locked="0"/>
    </xf>
    <xf numFmtId="0" fontId="0" fillId="0" borderId="0" xfId="0" applyAlignment="1" applyProtection="1">
      <alignment horizontal="left"/>
      <protection locked="0"/>
    </xf>
    <xf numFmtId="0" fontId="0" fillId="0" borderId="0" xfId="0" applyAlignment="1" applyProtection="1">
      <alignment horizontal="center"/>
      <protection locked="0"/>
    </xf>
    <xf numFmtId="18" fontId="1" fillId="0" borderId="4" xfId="0" applyNumberFormat="1" applyFont="1" applyBorder="1" applyAlignment="1" applyProtection="1">
      <alignment horizontal="center"/>
      <protection locked="0"/>
    </xf>
    <xf numFmtId="0" fontId="1" fillId="0" borderId="4" xfId="0" applyFont="1" applyBorder="1" applyAlignment="1" applyProtection="1">
      <alignment horizontal="center"/>
      <protection locked="0"/>
    </xf>
    <xf numFmtId="0" fontId="2" fillId="0" borderId="0" xfId="0" applyFont="1" applyAlignment="1" applyProtection="1">
      <alignment horizontal="center"/>
      <protection locked="0"/>
    </xf>
    <xf numFmtId="0" fontId="0" fillId="0" borderId="2" xfId="0" applyBorder="1" applyAlignment="1" applyProtection="1">
      <alignment horizontal="center"/>
      <protection locked="0"/>
    </xf>
    <xf numFmtId="0" fontId="0" fillId="0" borderId="3" xfId="0" applyBorder="1" applyAlignment="1" applyProtection="1">
      <alignment horizontal="center"/>
      <protection locked="0"/>
    </xf>
    <xf numFmtId="0" fontId="18" fillId="0" borderId="0" xfId="2" applyAlignment="1" applyProtection="1">
      <alignment horizontal="center"/>
      <protection locked="0"/>
    </xf>
    <xf numFmtId="0" fontId="9" fillId="0" borderId="0" xfId="0" applyFont="1" applyAlignment="1" applyProtection="1">
      <alignment horizontal="left"/>
      <protection hidden="1"/>
    </xf>
    <xf numFmtId="0" fontId="0" fillId="0" borderId="0" xfId="0" applyAlignment="1" applyProtection="1">
      <alignment horizontal="left" vertical="top" wrapText="1"/>
      <protection locked="0"/>
    </xf>
    <xf numFmtId="0" fontId="2" fillId="2" borderId="0" xfId="0" applyFont="1" applyFill="1" applyAlignment="1" applyProtection="1">
      <alignment horizontal="center" vertical="center" wrapText="1"/>
      <protection locked="0"/>
    </xf>
    <xf numFmtId="0" fontId="0" fillId="0" borderId="0" xfId="0" applyAlignment="1" applyProtection="1">
      <alignment horizontal="left" vertical="center" wrapText="1"/>
      <protection locked="0"/>
    </xf>
    <xf numFmtId="0" fontId="0" fillId="0" borderId="0" xfId="0" applyAlignment="1" applyProtection="1">
      <alignment horizontal="left" vertical="top"/>
      <protection locked="0"/>
    </xf>
    <xf numFmtId="0" fontId="0" fillId="0" borderId="0" xfId="0" applyAlignment="1" applyProtection="1">
      <alignment vertical="center" wrapText="1"/>
      <protection locked="0"/>
    </xf>
    <xf numFmtId="0" fontId="7" fillId="0" borderId="0" xfId="0" quotePrefix="1" applyFont="1" applyAlignment="1" applyProtection="1">
      <alignment horizontal="center" wrapText="1"/>
      <protection hidden="1"/>
    </xf>
    <xf numFmtId="0" fontId="0" fillId="3" borderId="1" xfId="0" applyFill="1" applyBorder="1" applyAlignment="1" applyProtection="1">
      <alignment horizontal="center"/>
      <protection locked="0"/>
    </xf>
    <xf numFmtId="0" fontId="5" fillId="0" borderId="1" xfId="0" applyFont="1" applyBorder="1" applyAlignment="1" applyProtection="1">
      <alignment horizontal="center" vertical="center"/>
      <protection locked="0"/>
    </xf>
    <xf numFmtId="0" fontId="1" fillId="0" borderId="1" xfId="0" applyFont="1" applyBorder="1" applyAlignment="1" applyProtection="1">
      <alignment horizontal="left"/>
      <protection locked="0"/>
    </xf>
    <xf numFmtId="0" fontId="0" fillId="0" borderId="1" xfId="0" applyBorder="1" applyAlignment="1" applyProtection="1">
      <alignment horizontal="center"/>
      <protection locked="0"/>
    </xf>
    <xf numFmtId="0" fontId="0" fillId="0" borderId="0" xfId="0" applyAlignment="1" applyProtection="1">
      <alignment horizontal="center" vertical="top" wrapText="1"/>
      <protection locked="0"/>
    </xf>
    <xf numFmtId="0" fontId="6" fillId="0" borderId="0" xfId="0" applyFont="1" applyAlignment="1" applyProtection="1">
      <alignment horizontal="center"/>
      <protection locked="0"/>
    </xf>
    <xf numFmtId="0" fontId="7" fillId="0" borderId="0" xfId="0" quotePrefix="1" applyFont="1" applyAlignment="1" applyProtection="1">
      <alignment horizontal="center" wrapText="1"/>
      <protection locked="0"/>
    </xf>
    <xf numFmtId="0" fontId="2" fillId="2" borderId="0" xfId="0" applyFont="1" applyFill="1" applyAlignment="1" applyProtection="1">
      <alignment horizontal="left" vertical="center"/>
      <protection locked="0"/>
    </xf>
    <xf numFmtId="14" fontId="7" fillId="0" borderId="3" xfId="0" applyNumberFormat="1" applyFont="1" applyBorder="1" applyAlignment="1" applyProtection="1">
      <alignment horizontal="center"/>
      <protection locked="0"/>
    </xf>
    <xf numFmtId="0" fontId="7" fillId="0" borderId="3" xfId="0" applyFont="1" applyBorder="1" applyAlignment="1" applyProtection="1">
      <alignment horizontal="center"/>
      <protection locked="0"/>
    </xf>
    <xf numFmtId="0" fontId="7" fillId="0" borderId="2" xfId="0" applyFont="1" applyBorder="1" applyAlignment="1" applyProtection="1">
      <alignment horizontal="center"/>
      <protection locked="0"/>
    </xf>
    <xf numFmtId="0" fontId="7" fillId="0" borderId="0" xfId="0" applyFont="1" applyAlignment="1" applyProtection="1">
      <alignment horizontal="left" vertical="top" wrapText="1"/>
      <protection locked="0"/>
    </xf>
    <xf numFmtId="0" fontId="7" fillId="0" borderId="0" xfId="0" applyFont="1" applyAlignment="1" applyProtection="1">
      <alignment horizontal="left" vertical="center" wrapText="1"/>
      <protection locked="0"/>
    </xf>
    <xf numFmtId="0" fontId="0" fillId="0" borderId="0" xfId="0" applyAlignment="1" applyProtection="1">
      <alignment horizontal="left" vertical="center"/>
      <protection locked="0"/>
    </xf>
    <xf numFmtId="0" fontId="7" fillId="0" borderId="0" xfId="0" applyFont="1" applyAlignment="1" applyProtection="1">
      <alignment horizontal="left" vertical="top"/>
      <protection locked="0"/>
    </xf>
    <xf numFmtId="0" fontId="7" fillId="0" borderId="0" xfId="0" applyFont="1" applyAlignment="1" applyProtection="1">
      <alignment horizontal="center" wrapText="1"/>
      <protection locked="0"/>
    </xf>
    <xf numFmtId="0" fontId="0" fillId="11" borderId="1" xfId="0" applyFill="1" applyBorder="1"/>
  </cellXfs>
  <cellStyles count="3">
    <cellStyle name="Hyperlink" xfId="2" builtinId="8"/>
    <cellStyle name="Normal" xfId="0" builtinId="0"/>
    <cellStyle name="Normal 2" xfId="1" xr:uid="{AA13882B-6144-4FA2-8ECD-07CA3EC80CD2}"/>
  </cellStyles>
  <dxfs count="13">
    <dxf>
      <font>
        <color theme="0"/>
      </font>
      <fill>
        <patternFill>
          <bgColor rgb="FF002060"/>
        </patternFill>
      </fill>
    </dxf>
    <dxf>
      <font>
        <color theme="0"/>
      </font>
      <fill>
        <patternFill>
          <bgColor rgb="FF002060"/>
        </patternFill>
      </fill>
    </dxf>
    <dxf>
      <font>
        <color theme="0"/>
      </font>
      <fill>
        <patternFill>
          <bgColor rgb="FF002060"/>
        </patternFill>
      </fill>
    </dxf>
    <dxf>
      <font>
        <color theme="0"/>
      </font>
      <fill>
        <patternFill>
          <bgColor rgb="FF002060"/>
        </patternFill>
      </fill>
    </dxf>
    <dxf>
      <font>
        <b val="0"/>
        <i val="0"/>
        <strike val="0"/>
        <condense val="0"/>
        <extend val="0"/>
        <outline val="0"/>
        <shadow val="0"/>
        <u val="none"/>
        <vertAlign val="baseline"/>
        <sz val="10"/>
        <color theme="1"/>
        <name val="Arial"/>
        <scheme val="none"/>
      </font>
      <numFmt numFmtId="165" formatCode="[$-409]dd\-mmm\-yy;@"/>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0"/>
        <color theme="1"/>
        <name val="Arial"/>
        <scheme val="none"/>
      </font>
      <numFmt numFmtId="0" formatCode="Genera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0"/>
        <color theme="1"/>
        <name val="Arial"/>
        <scheme val="none"/>
      </font>
      <numFmt numFmtId="0" formatCode="Genera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0"/>
        <color theme="1"/>
        <name val="Arial"/>
        <scheme val="none"/>
      </font>
      <numFmt numFmtId="164" formatCode="[$-409]d\-mmm\-yyyy;@"/>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border>
        <top style="hair">
          <color auto="1"/>
        </top>
      </border>
    </dxf>
    <dxf>
      <border diagonalUp="0" diagonalDown="0">
        <left style="thin">
          <color auto="1"/>
        </left>
        <right style="thin">
          <color auto="1"/>
        </right>
        <top style="thin">
          <color auto="1"/>
        </top>
        <bottom style="thin">
          <color auto="1"/>
        </bottom>
      </border>
    </dxf>
    <dxf>
      <font>
        <strike val="0"/>
        <outline val="0"/>
        <shadow val="0"/>
        <u val="none"/>
        <vertAlign val="baseline"/>
        <sz val="10"/>
        <name val="Arial"/>
        <scheme val="none"/>
      </font>
      <numFmt numFmtId="0" formatCode="General"/>
    </dxf>
    <dxf>
      <border>
        <bottom style="hair">
          <color auto="1"/>
        </bottom>
      </border>
    </dxf>
    <dxf>
      <font>
        <b/>
        <i val="0"/>
        <strike val="0"/>
        <condense val="0"/>
        <extend val="0"/>
        <outline val="0"/>
        <shadow val="0"/>
        <u val="none"/>
        <vertAlign val="baseline"/>
        <sz val="10"/>
        <color theme="0"/>
        <name val="Arial"/>
        <scheme val="none"/>
      </font>
      <fill>
        <patternFill patternType="solid">
          <fgColor indexed="64"/>
          <bgColor rgb="FF0296E0"/>
        </patternFill>
      </fill>
      <alignment horizontal="center" vertical="center" textRotation="0" wrapText="1" indent="0" justifyLastLine="0" shrinkToFit="0" readingOrder="0"/>
      <border diagonalUp="0" diagonalDown="0" outline="0">
        <left style="hair">
          <color auto="1"/>
        </left>
        <right style="hair">
          <color auto="1"/>
        </right>
        <top/>
        <bottom/>
      </border>
      <protection locked="0" hidden="0"/>
    </dxf>
  </dxfs>
  <tableStyles count="0" defaultTableStyle="TableStyleMedium2" defaultPivotStyle="PivotStyleLight16"/>
  <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trlProps/ctrlProp1.xml><?xml version="1.0" encoding="utf-8"?>
<formControlPr xmlns="http://schemas.microsoft.com/office/spreadsheetml/2009/9/main" objectType="Drop" dropStyle="combo" dx="22" fmlaLink="$H$5" fmlaRange="Utileria!$D$4:$D$40" noThreeD="1" sel="28" val="0"/>
</file>

<file path=xl/ctrlProps/ctrlProp2.xml><?xml version="1.0" encoding="utf-8"?>
<formControlPr xmlns="http://schemas.microsoft.com/office/spreadsheetml/2009/9/main" objectType="Drop" dropStyle="combo" dx="22" fmlaLink="$D$8" fmlaRange="Utileria!$F$4:$F$13" noThreeD="1" sel="10" val="2"/>
</file>

<file path=xl/ctrlProps/ctrlProp3.xml><?xml version="1.0" encoding="utf-8"?>
<formControlPr xmlns="http://schemas.microsoft.com/office/spreadsheetml/2009/9/main" objectType="Drop" dropStyle="combo" dx="22" fmlaLink="$D$17" fmlaRange="Utileria!$H$4:$H$10" noThreeD="1" sel="7" val="0"/>
</file>

<file path=xl/ctrlProps/ctrlProp4.xml><?xml version="1.0" encoding="utf-8"?>
<formControlPr xmlns="http://schemas.microsoft.com/office/spreadsheetml/2009/9/main" objectType="Drop" dropStyle="combo" dx="22" fmlaRange="Utileria!$K$4:$K$8" noThreeD="1" sel="5" val="0"/>
</file>

<file path=xl/ctrlProps/ctrlProp5.xml><?xml version="1.0" encoding="utf-8"?>
<formControlPr xmlns="http://schemas.microsoft.com/office/spreadsheetml/2009/9/main" objectType="Drop" dropStyle="combo" dx="22" fmlaLink="$C$5" fmlaRange="Utileria!$B$4:$B$16" noThreeD="1" sel="13" val="0"/>
</file>

<file path=xl/ctrlProps/ctrlProp6.xml><?xml version="1.0" encoding="utf-8"?>
<formControlPr xmlns="http://schemas.microsoft.com/office/spreadsheetml/2009/9/main" objectType="Drop" dropStyle="combo" dx="22" fmlaLink="$H$9" fmlaRange="Utileria!$D$5:$D$36" noThreeD="1" sel="1" val="0"/>
</file>

<file path=xl/ctrlProps/ctrlProp7.xml><?xml version="1.0" encoding="utf-8"?>
<formControlPr xmlns="http://schemas.microsoft.com/office/spreadsheetml/2009/9/main" objectType="Drop" dropStyle="combo" dx="22" fmlaRange="Utileria!$B$4:$B$15" noThreeD="1" sel="1" val="0"/>
</file>

<file path=xl/ctrlProps/ctrlProp8.xml><?xml version="1.0" encoding="utf-8"?>
<formControlPr xmlns="http://schemas.microsoft.com/office/spreadsheetml/2009/9/main" objectType="Drop" dropStyle="combo" dx="22" fmlaRange="Utileria!$F$4:$F$8" noThreeD="1" sel="5" val="0"/>
</file>

<file path=xl/ctrlProps/ctrlProp9.xml><?xml version="1.0" encoding="utf-8"?>
<formControlPr xmlns="http://schemas.microsoft.com/office/spreadsheetml/2009/9/main" objectType="Drop" dropStyle="combo" dx="22" fmlaRange="Utileria!$H$4:$H$9" noThreeD="1" sel="2" val="0"/>
</file>

<file path=xl/ctrlProps/ctrlProp10.xml><?xml version="1.0" encoding="utf-8"?>
<formControlPr xmlns="http://schemas.microsoft.com/office/spreadsheetml/2009/9/main" objectType="Drop" dropStyle="combo" dx="22" fmlaRange="Utileria!$K$4:$K$11" noThreeD="1" sel="0" val="0"/>
</file>

<file path=xl/ctrlProps/ctrlProp11.xml><?xml version="1.0" encoding="utf-8"?>
<formControlPr xmlns="http://schemas.microsoft.com/office/spreadsheetml/2009/9/main" objectType="CheckBox" checked="Checked" lockText="1" noThreeD="1"/>
</file>

<file path=xl/ctrlProps/ctrlProp12.xml><?xml version="1.0" encoding="utf-8"?>
<formControlPr xmlns="http://schemas.microsoft.com/office/spreadsheetml/2009/9/main" objectType="Drop" dropStyle="combo" dx="22" fmlaLink="$H$9" fmlaRange="Utileria!$D$5:$D$37" noThreeD="1" sel="17" val="5"/>
</file>

<file path=xl/ctrlProps/ctrlProp13.xml><?xml version="1.0" encoding="utf-8"?>
<formControlPr xmlns="http://schemas.microsoft.com/office/spreadsheetml/2009/9/main" objectType="Drop" dropStyle="combo" dx="22" fmlaRange="Utileria!$B$4:$B$15" noThreeD="1" sel="12" val="4"/>
</file>

<file path=xl/ctrlProps/ctrlProp14.xml><?xml version="1.0" encoding="utf-8"?>
<formControlPr xmlns="http://schemas.microsoft.com/office/spreadsheetml/2009/9/main" objectType="Drop" dropStyle="combo" dx="22" fmlaRange="Utileria!$F$4:$F$8" noThreeD="1" sel="3" val="0"/>
</file>

<file path=xl/ctrlProps/ctrlProp15.xml><?xml version="1.0" encoding="utf-8"?>
<formControlPr xmlns="http://schemas.microsoft.com/office/spreadsheetml/2009/9/main" objectType="Drop" dropStyle="combo" dx="22" fmlaRange="Utileria!$H$4:$H$9" noThreeD="1" sel="2" val="0"/>
</file>

<file path=xl/ctrlProps/ctrlProp16.xml><?xml version="1.0" encoding="utf-8"?>
<formControlPr xmlns="http://schemas.microsoft.com/office/spreadsheetml/2009/9/main" objectType="Drop" dropStyle="combo" dx="22" fmlaRange="Utileria!$K$4:$K$11" noThreeD="1" sel="1" val="0"/>
</file>

<file path=xl/ctrlProps/ctrlProp17.xml><?xml version="1.0" encoding="utf-8"?>
<formControlPr xmlns="http://schemas.microsoft.com/office/spreadsheetml/2009/9/main" objectType="CheckBox" lockText="1" noThreeD="1"/>
</file>

<file path=xl/drawings/_rels/drawing2.xml.rels><?xml version="1.0" encoding="UTF-8" standalone="yes"?>
<Relationships xmlns="http://schemas.openxmlformats.org/package/2006/relationships"><Relationship Id="rId1" Type="http://schemas.openxmlformats.org/officeDocument/2006/relationships/image" Target="../media/image2.jpg"/></Relationships>
</file>

<file path=xl/drawings/_rels/drawing3.xml.rels><?xml version="1.0" encoding="UTF-8" standalone="yes"?>
<Relationships xmlns="http://schemas.openxmlformats.org/package/2006/relationships"><Relationship Id="rId1" Type="http://schemas.openxmlformats.org/officeDocument/2006/relationships/image" Target="../media/image2.jp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0</xdr:colOff>
          <xdr:row>4</xdr:row>
          <xdr:rowOff>0</xdr:rowOff>
        </xdr:from>
        <xdr:to>
          <xdr:col>9</xdr:col>
          <xdr:colOff>742950</xdr:colOff>
          <xdr:row>5</xdr:row>
          <xdr:rowOff>0</xdr:rowOff>
        </xdr:to>
        <xdr:sp macro="" textlink="">
          <xdr:nvSpPr>
            <xdr:cNvPr id="5121" name="Drop Down 1" hidden="1">
              <a:extLst>
                <a:ext uri="{63B3BB69-23CF-44E3-9099-C40C66FF867C}">
                  <a14:compatExt spid="_x0000_s5121"/>
                </a:ext>
                <a:ext uri="{FF2B5EF4-FFF2-40B4-BE49-F238E27FC236}">
                  <a16:creationId xmlns:a16="http://schemas.microsoft.com/office/drawing/2014/main" id="{00000000-0008-0000-0100-00000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7</xdr:row>
          <xdr:rowOff>12700</xdr:rowOff>
        </xdr:from>
        <xdr:to>
          <xdr:col>7</xdr:col>
          <xdr:colOff>584200</xdr:colOff>
          <xdr:row>8</xdr:row>
          <xdr:rowOff>0</xdr:rowOff>
        </xdr:to>
        <xdr:sp macro="" textlink="">
          <xdr:nvSpPr>
            <xdr:cNvPr id="5123" name="Drop Down 3" hidden="1">
              <a:extLst>
                <a:ext uri="{63B3BB69-23CF-44E3-9099-C40C66FF867C}">
                  <a14:compatExt spid="_x0000_s5123"/>
                </a:ext>
                <a:ext uri="{FF2B5EF4-FFF2-40B4-BE49-F238E27FC236}">
                  <a16:creationId xmlns:a16="http://schemas.microsoft.com/office/drawing/2014/main" id="{00000000-0008-0000-0100-00000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15</xdr:row>
          <xdr:rowOff>165100</xdr:rowOff>
        </xdr:from>
        <xdr:to>
          <xdr:col>7</xdr:col>
          <xdr:colOff>412750</xdr:colOff>
          <xdr:row>16</xdr:row>
          <xdr:rowOff>165100</xdr:rowOff>
        </xdr:to>
        <xdr:sp macro="" textlink="">
          <xdr:nvSpPr>
            <xdr:cNvPr id="5124" name="Drop Down 4" hidden="1">
              <a:extLst>
                <a:ext uri="{63B3BB69-23CF-44E3-9099-C40C66FF867C}">
                  <a14:compatExt spid="_x0000_s5124"/>
                </a:ext>
                <a:ext uri="{FF2B5EF4-FFF2-40B4-BE49-F238E27FC236}">
                  <a16:creationId xmlns:a16="http://schemas.microsoft.com/office/drawing/2014/main" id="{00000000-0008-0000-0100-00000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7</xdr:row>
          <xdr:rowOff>0</xdr:rowOff>
        </xdr:from>
        <xdr:to>
          <xdr:col>14</xdr:col>
          <xdr:colOff>0</xdr:colOff>
          <xdr:row>8</xdr:row>
          <xdr:rowOff>0</xdr:rowOff>
        </xdr:to>
        <xdr:sp macro="" textlink="">
          <xdr:nvSpPr>
            <xdr:cNvPr id="5127" name="Drop Down 7" hidden="1">
              <a:extLst>
                <a:ext uri="{63B3BB69-23CF-44E3-9099-C40C66FF867C}">
                  <a14:compatExt spid="_x0000_s5127"/>
                </a:ext>
                <a:ext uri="{FF2B5EF4-FFF2-40B4-BE49-F238E27FC236}">
                  <a16:creationId xmlns:a16="http://schemas.microsoft.com/office/drawing/2014/main" id="{00000000-0008-0000-0100-00000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4</xdr:row>
          <xdr:rowOff>0</xdr:rowOff>
        </xdr:from>
        <xdr:to>
          <xdr:col>4</xdr:col>
          <xdr:colOff>457200</xdr:colOff>
          <xdr:row>5</xdr:row>
          <xdr:rowOff>0</xdr:rowOff>
        </xdr:to>
        <xdr:sp macro="" textlink="">
          <xdr:nvSpPr>
            <xdr:cNvPr id="5122" name="Drop Down 2" hidden="1">
              <a:extLst>
                <a:ext uri="{63B3BB69-23CF-44E3-9099-C40C66FF867C}">
                  <a14:compatExt spid="_x0000_s5122"/>
                </a:ext>
                <a:ext uri="{FF2B5EF4-FFF2-40B4-BE49-F238E27FC236}">
                  <a16:creationId xmlns:a16="http://schemas.microsoft.com/office/drawing/2014/main" id="{00000000-0008-0000-0100-00000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0</xdr:colOff>
          <xdr:row>8</xdr:row>
          <xdr:rowOff>19050</xdr:rowOff>
        </xdr:from>
        <xdr:to>
          <xdr:col>9</xdr:col>
          <xdr:colOff>1028700</xdr:colOff>
          <xdr:row>9</xdr:row>
          <xdr:rowOff>31750</xdr:rowOff>
        </xdr:to>
        <xdr:sp macro="" textlink="">
          <xdr:nvSpPr>
            <xdr:cNvPr id="10241" name="Drop Down 1" hidden="1">
              <a:extLst>
                <a:ext uri="{63B3BB69-23CF-44E3-9099-C40C66FF867C}">
                  <a14:compatExt spid="_x0000_s10241"/>
                </a:ext>
                <a:ext uri="{FF2B5EF4-FFF2-40B4-BE49-F238E27FC236}">
                  <a16:creationId xmlns:a16="http://schemas.microsoft.com/office/drawing/2014/main" id="{00000000-0008-0000-0200-000001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812800</xdr:colOff>
          <xdr:row>7</xdr:row>
          <xdr:rowOff>184150</xdr:rowOff>
        </xdr:from>
        <xdr:to>
          <xdr:col>4</xdr:col>
          <xdr:colOff>838200</xdr:colOff>
          <xdr:row>9</xdr:row>
          <xdr:rowOff>0</xdr:rowOff>
        </xdr:to>
        <xdr:sp macro="" textlink="">
          <xdr:nvSpPr>
            <xdr:cNvPr id="10242" name="Drop Down 2" hidden="1">
              <a:extLst>
                <a:ext uri="{63B3BB69-23CF-44E3-9099-C40C66FF867C}">
                  <a14:compatExt spid="_x0000_s10242"/>
                </a:ext>
                <a:ext uri="{FF2B5EF4-FFF2-40B4-BE49-F238E27FC236}">
                  <a16:creationId xmlns:a16="http://schemas.microsoft.com/office/drawing/2014/main" id="{00000000-0008-0000-0200-000002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10</xdr:row>
          <xdr:rowOff>171450</xdr:rowOff>
        </xdr:from>
        <xdr:to>
          <xdr:col>7</xdr:col>
          <xdr:colOff>0</xdr:colOff>
          <xdr:row>12</xdr:row>
          <xdr:rowOff>12700</xdr:rowOff>
        </xdr:to>
        <xdr:sp macro="" textlink="">
          <xdr:nvSpPr>
            <xdr:cNvPr id="10243" name="Drop Down 3" hidden="1">
              <a:extLst>
                <a:ext uri="{63B3BB69-23CF-44E3-9099-C40C66FF867C}">
                  <a14:compatExt spid="_x0000_s10243"/>
                </a:ext>
                <a:ext uri="{FF2B5EF4-FFF2-40B4-BE49-F238E27FC236}">
                  <a16:creationId xmlns:a16="http://schemas.microsoft.com/office/drawing/2014/main" id="{00000000-0008-0000-0200-000003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19</xdr:row>
          <xdr:rowOff>165100</xdr:rowOff>
        </xdr:from>
        <xdr:to>
          <xdr:col>5</xdr:col>
          <xdr:colOff>742950</xdr:colOff>
          <xdr:row>20</xdr:row>
          <xdr:rowOff>171450</xdr:rowOff>
        </xdr:to>
        <xdr:sp macro="" textlink="">
          <xdr:nvSpPr>
            <xdr:cNvPr id="10244" name="Drop Down 4" hidden="1">
              <a:extLst>
                <a:ext uri="{63B3BB69-23CF-44E3-9099-C40C66FF867C}">
                  <a14:compatExt spid="_x0000_s10244"/>
                </a:ext>
                <a:ext uri="{FF2B5EF4-FFF2-40B4-BE49-F238E27FC236}">
                  <a16:creationId xmlns:a16="http://schemas.microsoft.com/office/drawing/2014/main" id="{00000000-0008-0000-0200-000004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10</xdr:row>
          <xdr:rowOff>190500</xdr:rowOff>
        </xdr:from>
        <xdr:to>
          <xdr:col>14</xdr:col>
          <xdr:colOff>31750</xdr:colOff>
          <xdr:row>11</xdr:row>
          <xdr:rowOff>184150</xdr:rowOff>
        </xdr:to>
        <xdr:sp macro="" textlink="">
          <xdr:nvSpPr>
            <xdr:cNvPr id="10247" name="Drop Down 7" hidden="1">
              <a:extLst>
                <a:ext uri="{63B3BB69-23CF-44E3-9099-C40C66FF867C}">
                  <a14:compatExt spid="_x0000_s10247"/>
                </a:ext>
                <a:ext uri="{FF2B5EF4-FFF2-40B4-BE49-F238E27FC236}">
                  <a16:creationId xmlns:a16="http://schemas.microsoft.com/office/drawing/2014/main" id="{00000000-0008-0000-0200-000007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285750</xdr:colOff>
          <xdr:row>13</xdr:row>
          <xdr:rowOff>69850</xdr:rowOff>
        </xdr:from>
        <xdr:to>
          <xdr:col>13</xdr:col>
          <xdr:colOff>571500</xdr:colOff>
          <xdr:row>14</xdr:row>
          <xdr:rowOff>127000</xdr:rowOff>
        </xdr:to>
        <xdr:sp macro="" textlink="">
          <xdr:nvSpPr>
            <xdr:cNvPr id="10248" name="Check Box 8" hidden="1">
              <a:extLst>
                <a:ext uri="{63B3BB69-23CF-44E3-9099-C40C66FF867C}">
                  <a14:compatExt spid="_x0000_s10248"/>
                </a:ext>
                <a:ext uri="{FF2B5EF4-FFF2-40B4-BE49-F238E27FC236}">
                  <a16:creationId xmlns:a16="http://schemas.microsoft.com/office/drawing/2014/main" id="{00000000-0008-0000-0200-000008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s-MX" sz="800" b="0" i="0" u="none" strike="noStrike" baseline="0">
                  <a:solidFill>
                    <a:srgbClr val="000000"/>
                  </a:solidFill>
                  <a:latin typeface="Segoe UI"/>
                  <a:cs typeface="Segoe UI"/>
                </a:rPr>
                <a:t>¿Se requiere documentación (evidencias)?</a:t>
              </a:r>
            </a:p>
          </xdr:txBody>
        </xdr:sp>
        <xdr:clientData/>
      </xdr:twoCellAnchor>
    </mc:Choice>
    <mc:Fallback/>
  </mc:AlternateContent>
  <xdr:twoCellAnchor editAs="oneCell">
    <xdr:from>
      <xdr:col>1</xdr:col>
      <xdr:colOff>504825</xdr:colOff>
      <xdr:row>1</xdr:row>
      <xdr:rowOff>123825</xdr:rowOff>
    </xdr:from>
    <xdr:to>
      <xdr:col>3</xdr:col>
      <xdr:colOff>323850</xdr:colOff>
      <xdr:row>4</xdr:row>
      <xdr:rowOff>95251</xdr:rowOff>
    </xdr:to>
    <xdr:pic>
      <xdr:nvPicPr>
        <xdr:cNvPr id="10" name="image7.jpg">
          <a:extLst>
            <a:ext uri="{FF2B5EF4-FFF2-40B4-BE49-F238E27FC236}">
              <a16:creationId xmlns:a16="http://schemas.microsoft.com/office/drawing/2014/main" id="{00000000-0008-0000-0200-00000A000000}"/>
            </a:ext>
          </a:extLst>
        </xdr:cNvPr>
        <xdr:cNvPicPr/>
      </xdr:nvPicPr>
      <xdr:blipFill rotWithShape="1">
        <a:blip xmlns:r="http://schemas.openxmlformats.org/officeDocument/2006/relationships" r:embed="rId1"/>
        <a:srcRect t="18571" b="20000"/>
        <a:stretch/>
      </xdr:blipFill>
      <xdr:spPr>
        <a:xfrm>
          <a:off x="1019175" y="314325"/>
          <a:ext cx="1400175" cy="542926"/>
        </a:xfrm>
        <a:prstGeom prst="rect">
          <a:avLst/>
        </a:prstGeom>
        <a:ln/>
      </xdr:spPr>
    </xdr:pic>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0</xdr:colOff>
          <xdr:row>8</xdr:row>
          <xdr:rowOff>19050</xdr:rowOff>
        </xdr:from>
        <xdr:to>
          <xdr:col>9</xdr:col>
          <xdr:colOff>1028700</xdr:colOff>
          <xdr:row>9</xdr:row>
          <xdr:rowOff>31750</xdr:rowOff>
        </xdr:to>
        <xdr:sp macro="" textlink="">
          <xdr:nvSpPr>
            <xdr:cNvPr id="11265" name="Drop Down 1" hidden="1">
              <a:extLst>
                <a:ext uri="{63B3BB69-23CF-44E3-9099-C40C66FF867C}">
                  <a14:compatExt spid="_x0000_s11265"/>
                </a:ext>
                <a:ext uri="{FF2B5EF4-FFF2-40B4-BE49-F238E27FC236}">
                  <a16:creationId xmlns:a16="http://schemas.microsoft.com/office/drawing/2014/main" id="{00000000-0008-0000-0300-000001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812800</xdr:colOff>
          <xdr:row>7</xdr:row>
          <xdr:rowOff>184150</xdr:rowOff>
        </xdr:from>
        <xdr:to>
          <xdr:col>4</xdr:col>
          <xdr:colOff>838200</xdr:colOff>
          <xdr:row>9</xdr:row>
          <xdr:rowOff>0</xdr:rowOff>
        </xdr:to>
        <xdr:sp macro="" textlink="">
          <xdr:nvSpPr>
            <xdr:cNvPr id="11266" name="Drop Down 2" hidden="1">
              <a:extLst>
                <a:ext uri="{63B3BB69-23CF-44E3-9099-C40C66FF867C}">
                  <a14:compatExt spid="_x0000_s11266"/>
                </a:ext>
                <a:ext uri="{FF2B5EF4-FFF2-40B4-BE49-F238E27FC236}">
                  <a16:creationId xmlns:a16="http://schemas.microsoft.com/office/drawing/2014/main" id="{00000000-0008-0000-0300-000002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10</xdr:row>
          <xdr:rowOff>171450</xdr:rowOff>
        </xdr:from>
        <xdr:to>
          <xdr:col>7</xdr:col>
          <xdr:colOff>0</xdr:colOff>
          <xdr:row>12</xdr:row>
          <xdr:rowOff>12700</xdr:rowOff>
        </xdr:to>
        <xdr:sp macro="" textlink="">
          <xdr:nvSpPr>
            <xdr:cNvPr id="11267" name="Drop Down 3" hidden="1">
              <a:extLst>
                <a:ext uri="{63B3BB69-23CF-44E3-9099-C40C66FF867C}">
                  <a14:compatExt spid="_x0000_s11267"/>
                </a:ext>
                <a:ext uri="{FF2B5EF4-FFF2-40B4-BE49-F238E27FC236}">
                  <a16:creationId xmlns:a16="http://schemas.microsoft.com/office/drawing/2014/main" id="{00000000-0008-0000-0300-000003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19</xdr:row>
          <xdr:rowOff>165100</xdr:rowOff>
        </xdr:from>
        <xdr:to>
          <xdr:col>5</xdr:col>
          <xdr:colOff>742950</xdr:colOff>
          <xdr:row>20</xdr:row>
          <xdr:rowOff>171450</xdr:rowOff>
        </xdr:to>
        <xdr:sp macro="" textlink="">
          <xdr:nvSpPr>
            <xdr:cNvPr id="11268" name="Drop Down 4" hidden="1">
              <a:extLst>
                <a:ext uri="{63B3BB69-23CF-44E3-9099-C40C66FF867C}">
                  <a14:compatExt spid="_x0000_s11268"/>
                </a:ext>
                <a:ext uri="{FF2B5EF4-FFF2-40B4-BE49-F238E27FC236}">
                  <a16:creationId xmlns:a16="http://schemas.microsoft.com/office/drawing/2014/main" id="{00000000-0008-0000-0300-000004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10</xdr:row>
          <xdr:rowOff>190500</xdr:rowOff>
        </xdr:from>
        <xdr:to>
          <xdr:col>14</xdr:col>
          <xdr:colOff>31750</xdr:colOff>
          <xdr:row>11</xdr:row>
          <xdr:rowOff>184150</xdr:rowOff>
        </xdr:to>
        <xdr:sp macro="" textlink="">
          <xdr:nvSpPr>
            <xdr:cNvPr id="11271" name="Drop Down 7" hidden="1">
              <a:extLst>
                <a:ext uri="{63B3BB69-23CF-44E3-9099-C40C66FF867C}">
                  <a14:compatExt spid="_x0000_s11271"/>
                </a:ext>
                <a:ext uri="{FF2B5EF4-FFF2-40B4-BE49-F238E27FC236}">
                  <a16:creationId xmlns:a16="http://schemas.microsoft.com/office/drawing/2014/main" id="{00000000-0008-0000-0300-000007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285750</xdr:colOff>
          <xdr:row>13</xdr:row>
          <xdr:rowOff>69850</xdr:rowOff>
        </xdr:from>
        <xdr:to>
          <xdr:col>13</xdr:col>
          <xdr:colOff>571500</xdr:colOff>
          <xdr:row>14</xdr:row>
          <xdr:rowOff>127000</xdr:rowOff>
        </xdr:to>
        <xdr:sp macro="" textlink="">
          <xdr:nvSpPr>
            <xdr:cNvPr id="11272" name="Check Box 8" hidden="1">
              <a:extLst>
                <a:ext uri="{63B3BB69-23CF-44E3-9099-C40C66FF867C}">
                  <a14:compatExt spid="_x0000_s11272"/>
                </a:ext>
                <a:ext uri="{FF2B5EF4-FFF2-40B4-BE49-F238E27FC236}">
                  <a16:creationId xmlns:a16="http://schemas.microsoft.com/office/drawing/2014/main" id="{00000000-0008-0000-0300-000008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s-MX" sz="800" b="0" i="0" u="none" strike="noStrike" baseline="0">
                  <a:solidFill>
                    <a:srgbClr val="000000"/>
                  </a:solidFill>
                  <a:latin typeface="Segoe UI"/>
                  <a:cs typeface="Segoe UI"/>
                </a:rPr>
                <a:t>¿Se requiere documentación (evidencias)?</a:t>
              </a:r>
            </a:p>
          </xdr:txBody>
        </xdr:sp>
        <xdr:clientData/>
      </xdr:twoCellAnchor>
    </mc:Choice>
    <mc:Fallback/>
  </mc:AlternateContent>
  <xdr:twoCellAnchor editAs="oneCell">
    <xdr:from>
      <xdr:col>1</xdr:col>
      <xdr:colOff>504825</xdr:colOff>
      <xdr:row>1</xdr:row>
      <xdr:rowOff>123825</xdr:rowOff>
    </xdr:from>
    <xdr:to>
      <xdr:col>3</xdr:col>
      <xdr:colOff>323850</xdr:colOff>
      <xdr:row>4</xdr:row>
      <xdr:rowOff>95251</xdr:rowOff>
    </xdr:to>
    <xdr:pic>
      <xdr:nvPicPr>
        <xdr:cNvPr id="10" name="image7.jpg">
          <a:extLst>
            <a:ext uri="{FF2B5EF4-FFF2-40B4-BE49-F238E27FC236}">
              <a16:creationId xmlns:a16="http://schemas.microsoft.com/office/drawing/2014/main" id="{00000000-0008-0000-0300-00000A000000}"/>
            </a:ext>
          </a:extLst>
        </xdr:cNvPr>
        <xdr:cNvPicPr/>
      </xdr:nvPicPr>
      <xdr:blipFill rotWithShape="1">
        <a:blip xmlns:r="http://schemas.openxmlformats.org/officeDocument/2006/relationships" r:embed="rId1"/>
        <a:srcRect t="18571" b="20000"/>
        <a:stretch/>
      </xdr:blipFill>
      <xdr:spPr>
        <a:xfrm>
          <a:off x="1019175" y="314325"/>
          <a:ext cx="1400175" cy="542926"/>
        </a:xfrm>
        <a:prstGeom prst="rect">
          <a:avLst/>
        </a:prstGeom>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Teknei/Documents/BID%20FZ/2019/SGSI%20v1/Buro%20de%20Identidad%20Digital%20Fuentes/05.%20Formatos/BID-PMC-FOR-00016%20Base%20de%20datos%20de%20contratos%20y%20proveedores%20Ver.0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ol de Cambios"/>
      <sheetName val="FO-GTI-XX"/>
      <sheetName val="Matriz de Pagos"/>
      <sheetName val="catalogo"/>
    </sheetNames>
    <sheetDataSet>
      <sheetData sheetId="0" refreshError="1"/>
      <sheetData sheetId="1" refreshError="1"/>
      <sheetData sheetId="2" refreshError="1"/>
      <sheetData sheetId="3">
        <row r="1">
          <cell r="A1" t="str">
            <v>Opcion cambio</v>
          </cell>
        </row>
        <row r="2">
          <cell r="A2" t="str">
            <v>Actualización a la plantilla (exclusivo de Control Documental)</v>
          </cell>
        </row>
        <row r="3">
          <cell r="A3" t="str">
            <v>Actualización al contenido del documento</v>
          </cell>
        </row>
      </sheetData>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48E253F-CA58-4A65-A1B9-F0AEBC05D236}" name="cambios" displayName="cambios" ref="A3:D7" totalsRowShown="0" headerRowDxfId="12" dataDxfId="10" headerRowBorderDxfId="11" tableBorderDxfId="9" totalsRowBorderDxfId="8">
  <autoFilter ref="A3:D7" xr:uid="{00000000-0009-0000-0100-000002000000}"/>
  <tableColumns count="4">
    <tableColumn id="1" xr3:uid="{267A45B4-AA85-4838-9184-4BC0965B2C22}" name="Fecha" dataDxfId="7"/>
    <tableColumn id="2" xr3:uid="{9F5EA417-73E9-46A4-BC00-A2B6CF4DF618}" name="Alcance del cambio" dataDxfId="6"/>
    <tableColumn id="3" xr3:uid="{126CAA81-3115-40F2-9DCE-FAAB303E0A4D}" name="Descripción del cambio" dataDxfId="5"/>
    <tableColumn id="4" xr3:uid="{F5C14AEF-405A-46F9-B110-2857984C7B8E}" name="Versión" dataDxfId="4"/>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4.xml"/><Relationship Id="rId3" Type="http://schemas.openxmlformats.org/officeDocument/2006/relationships/vmlDrawing" Target="../drawings/vmlDrawing2.vml"/><Relationship Id="rId7" Type="http://schemas.openxmlformats.org/officeDocument/2006/relationships/ctrlProp" Target="../ctrlProps/ctrlProp3.xml"/><Relationship Id="rId2" Type="http://schemas.openxmlformats.org/officeDocument/2006/relationships/drawing" Target="../drawings/drawing1.xml"/><Relationship Id="rId1" Type="http://schemas.openxmlformats.org/officeDocument/2006/relationships/printerSettings" Target="../printerSettings/printerSettings2.bin"/><Relationship Id="rId6" Type="http://schemas.openxmlformats.org/officeDocument/2006/relationships/ctrlProp" Target="../ctrlProps/ctrlProp2.xml"/><Relationship Id="rId5" Type="http://schemas.openxmlformats.org/officeDocument/2006/relationships/ctrlProp" Target="../ctrlProps/ctrlProp1.xml"/><Relationship Id="rId4" Type="http://schemas.openxmlformats.org/officeDocument/2006/relationships/vmlDrawing" Target="../drawings/vmlDrawing3.vml"/><Relationship Id="rId9" Type="http://schemas.openxmlformats.org/officeDocument/2006/relationships/ctrlProp" Target="../ctrlProps/ctrlProp5.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10.xml"/><Relationship Id="rId3" Type="http://schemas.openxmlformats.org/officeDocument/2006/relationships/vmlDrawing" Target="../drawings/vmlDrawing4.vml"/><Relationship Id="rId7" Type="http://schemas.openxmlformats.org/officeDocument/2006/relationships/ctrlProp" Target="../ctrlProps/ctrlProp9.xml"/><Relationship Id="rId2" Type="http://schemas.openxmlformats.org/officeDocument/2006/relationships/drawing" Target="../drawings/drawing2.xml"/><Relationship Id="rId1" Type="http://schemas.openxmlformats.org/officeDocument/2006/relationships/printerSettings" Target="../printerSettings/printerSettings3.bin"/><Relationship Id="rId6" Type="http://schemas.openxmlformats.org/officeDocument/2006/relationships/ctrlProp" Target="../ctrlProps/ctrlProp8.xml"/><Relationship Id="rId5" Type="http://schemas.openxmlformats.org/officeDocument/2006/relationships/ctrlProp" Target="../ctrlProps/ctrlProp7.xml"/><Relationship Id="rId10" Type="http://schemas.openxmlformats.org/officeDocument/2006/relationships/comments" Target="../comments1.xml"/><Relationship Id="rId4" Type="http://schemas.openxmlformats.org/officeDocument/2006/relationships/ctrlProp" Target="../ctrlProps/ctrlProp6.xml"/><Relationship Id="rId9" Type="http://schemas.openxmlformats.org/officeDocument/2006/relationships/ctrlProp" Target="../ctrlProps/ctrlProp11.xml"/></Relationships>
</file>

<file path=xl/worksheets/_rels/sheet4.xml.rels><?xml version="1.0" encoding="UTF-8" standalone="yes"?>
<Relationships xmlns="http://schemas.openxmlformats.org/package/2006/relationships"><Relationship Id="rId8" Type="http://schemas.openxmlformats.org/officeDocument/2006/relationships/ctrlProp" Target="../ctrlProps/ctrlProp16.xml"/><Relationship Id="rId3" Type="http://schemas.openxmlformats.org/officeDocument/2006/relationships/vmlDrawing" Target="../drawings/vmlDrawing5.vml"/><Relationship Id="rId7" Type="http://schemas.openxmlformats.org/officeDocument/2006/relationships/ctrlProp" Target="../ctrlProps/ctrlProp15.xml"/><Relationship Id="rId2" Type="http://schemas.openxmlformats.org/officeDocument/2006/relationships/drawing" Target="../drawings/drawing3.xml"/><Relationship Id="rId1" Type="http://schemas.openxmlformats.org/officeDocument/2006/relationships/printerSettings" Target="../printerSettings/printerSettings4.bin"/><Relationship Id="rId6" Type="http://schemas.openxmlformats.org/officeDocument/2006/relationships/ctrlProp" Target="../ctrlProps/ctrlProp14.xml"/><Relationship Id="rId5" Type="http://schemas.openxmlformats.org/officeDocument/2006/relationships/ctrlProp" Target="../ctrlProps/ctrlProp13.xml"/><Relationship Id="rId4" Type="http://schemas.openxmlformats.org/officeDocument/2006/relationships/ctrlProp" Target="../ctrlProps/ctrlProp12.xml"/><Relationship Id="rId9" Type="http://schemas.openxmlformats.org/officeDocument/2006/relationships/ctrlProp" Target="../ctrlProps/ctrlProp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38D972-30B2-4E0D-AE3B-AA160592DDD5}">
  <sheetPr>
    <pageSetUpPr fitToPage="1"/>
  </sheetPr>
  <dimension ref="A1:E7"/>
  <sheetViews>
    <sheetView showGridLines="0" view="pageLayout" zoomScale="90" zoomScaleNormal="100" zoomScalePageLayoutView="90" workbookViewId="0">
      <selection activeCell="B6" sqref="B6"/>
    </sheetView>
  </sheetViews>
  <sheetFormatPr defaultColWidth="3.81640625" defaultRowHeight="12.5" x14ac:dyDescent="0.25"/>
  <cols>
    <col min="1" max="1" width="17.54296875" style="29" customWidth="1"/>
    <col min="2" max="2" width="28.54296875" style="28" customWidth="1"/>
    <col min="3" max="3" width="55.453125" style="26" customWidth="1"/>
    <col min="4" max="4" width="13.7265625" style="27" customWidth="1"/>
    <col min="5" max="5" width="21" style="27" bestFit="1" customWidth="1"/>
    <col min="6" max="16384" width="3.81640625" style="29"/>
  </cols>
  <sheetData>
    <row r="1" spans="1:4" ht="13" x14ac:dyDescent="0.25">
      <c r="A1" s="25" t="s">
        <v>92</v>
      </c>
      <c r="B1" s="26"/>
      <c r="C1" s="27"/>
    </row>
    <row r="2" spans="1:4" x14ac:dyDescent="0.25">
      <c r="A2" s="28"/>
      <c r="B2" s="26"/>
      <c r="C2" s="27"/>
    </row>
    <row r="3" spans="1:4" ht="13" x14ac:dyDescent="0.25">
      <c r="A3" s="30" t="s">
        <v>93</v>
      </c>
      <c r="B3" s="30" t="s">
        <v>94</v>
      </c>
      <c r="C3" s="30" t="s">
        <v>95</v>
      </c>
      <c r="D3" s="30" t="s">
        <v>38</v>
      </c>
    </row>
    <row r="4" spans="1:4" s="27" customFormat="1" ht="50" x14ac:dyDescent="0.35">
      <c r="A4" s="31">
        <v>44697</v>
      </c>
      <c r="B4" s="32" t="s">
        <v>100</v>
      </c>
      <c r="C4" s="32" t="s">
        <v>101</v>
      </c>
      <c r="D4" s="33" t="s">
        <v>99</v>
      </c>
    </row>
    <row r="5" spans="1:4" s="27" customFormat="1" ht="25" x14ac:dyDescent="0.35">
      <c r="A5" s="31">
        <v>43983</v>
      </c>
      <c r="B5" s="32" t="s">
        <v>96</v>
      </c>
      <c r="C5" s="32" t="s">
        <v>97</v>
      </c>
      <c r="D5" s="34" t="s">
        <v>98</v>
      </c>
    </row>
    <row r="6" spans="1:4" s="27" customFormat="1" ht="25" x14ac:dyDescent="0.35">
      <c r="A6" s="31">
        <v>45079</v>
      </c>
      <c r="B6" s="32" t="s">
        <v>102</v>
      </c>
      <c r="C6" s="32" t="s">
        <v>103</v>
      </c>
      <c r="D6" s="33" t="s">
        <v>104</v>
      </c>
    </row>
    <row r="7" spans="1:4" s="27" customFormat="1" ht="25" x14ac:dyDescent="0.35">
      <c r="A7" s="31">
        <v>45554</v>
      </c>
      <c r="B7" s="32" t="s">
        <v>102</v>
      </c>
      <c r="C7" s="32" t="s">
        <v>105</v>
      </c>
      <c r="D7" s="33" t="s">
        <v>106</v>
      </c>
    </row>
  </sheetData>
  <sheetProtection selectLockedCells="1" autoFilter="0"/>
  <printOptions horizontalCentered="1"/>
  <pageMargins left="0.23622047244094491" right="0.23622047244094491" top="1.2598425196850394" bottom="1.2598425196850394" header="0.23622047244094491" footer="0.74803149606299213"/>
  <pageSetup scale="88" fitToHeight="0" orientation="portrait" r:id="rId1"/>
  <headerFooter scaleWithDoc="0">
    <oddHeader>&amp;L&amp;G&amp;CSistema Integrado de Gestión
Documento: Formato
Área: BID
Nombre: Solicitud de Pruebas QA&amp;R&amp;"Arial,Normal"&amp;10Clave: BID-PMC-FOR-00017
Clasificación: Interna 
Versión: 04 
Emisión: 16-Sep-2022</oddHeader>
    <oddFooter>&amp;R&amp;"Arial,Regular"&amp;10&amp;P de &amp;N</oddFooter>
  </headerFooter>
  <legacyDrawingHF r:id="rId2"/>
  <tableParts count="1">
    <tablePart r:id="rId3"/>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087A9D-E55E-410F-9C68-563AB445F8C9}">
  <sheetPr codeName="Hoja2"/>
  <dimension ref="B3:T42"/>
  <sheetViews>
    <sheetView showGridLines="0" tabSelected="1" view="pageBreakPreview" topLeftCell="A22" zoomScale="85" zoomScaleNormal="100" zoomScaleSheetLayoutView="85" zoomScalePageLayoutView="10" workbookViewId="0">
      <selection activeCell="C33" sqref="C33:N33"/>
    </sheetView>
  </sheetViews>
  <sheetFormatPr defaultColWidth="11.453125" defaultRowHeight="14.5" x14ac:dyDescent="0.35"/>
  <cols>
    <col min="1" max="1" width="7.7265625" style="2" customWidth="1"/>
    <col min="2" max="2" width="8" style="2" customWidth="1"/>
    <col min="3" max="3" width="13.1796875" style="2" customWidth="1"/>
    <col min="4" max="4" width="14.1796875" style="2" customWidth="1"/>
    <col min="5" max="5" width="8.54296875" style="2" customWidth="1"/>
    <col min="6" max="6" width="6" style="2" customWidth="1"/>
    <col min="7" max="7" width="2.81640625" style="2" customWidth="1"/>
    <col min="8" max="8" width="12.453125" style="2" customWidth="1"/>
    <col min="9" max="9" width="4.1796875" style="2" customWidth="1"/>
    <col min="10" max="10" width="12.453125" style="2" customWidth="1"/>
    <col min="11" max="11" width="8.26953125" style="2" customWidth="1"/>
    <col min="12" max="12" width="8.54296875" style="2" customWidth="1"/>
    <col min="13" max="13" width="11.453125" style="2"/>
    <col min="14" max="14" width="12.26953125" style="2" customWidth="1"/>
    <col min="15" max="15" width="0.54296875" style="2" customWidth="1"/>
    <col min="16" max="18" width="11.453125" style="2" hidden="1" customWidth="1"/>
    <col min="19" max="19" width="11.453125" style="2" customWidth="1"/>
    <col min="20" max="20" width="11.453125" style="2" hidden="1" customWidth="1"/>
    <col min="21" max="16384" width="11.453125" style="2"/>
  </cols>
  <sheetData>
    <row r="3" spans="2:14" x14ac:dyDescent="0.35">
      <c r="B3" s="45" t="s">
        <v>26</v>
      </c>
      <c r="C3" s="45"/>
      <c r="D3" s="45"/>
      <c r="E3" s="45"/>
      <c r="F3" s="45"/>
      <c r="G3" s="45"/>
      <c r="H3" s="45"/>
      <c r="I3" s="45"/>
      <c r="J3" s="45"/>
      <c r="K3" s="45"/>
      <c r="L3" s="45"/>
      <c r="M3" s="45"/>
      <c r="N3" s="45"/>
    </row>
    <row r="5" spans="2:14" ht="15" customHeight="1" x14ac:dyDescent="0.35">
      <c r="B5" s="4" t="s">
        <v>1</v>
      </c>
      <c r="C5" s="2">
        <v>13</v>
      </c>
      <c r="F5" s="46" t="s">
        <v>2</v>
      </c>
      <c r="G5" s="46"/>
      <c r="H5" s="2">
        <v>28</v>
      </c>
      <c r="K5" s="45" t="s">
        <v>4</v>
      </c>
      <c r="L5" s="45"/>
      <c r="M5" s="47"/>
      <c r="N5" s="47"/>
    </row>
    <row r="6" spans="2:14" ht="17.25" customHeight="1" x14ac:dyDescent="0.35">
      <c r="B6" s="8" t="str">
        <f>IF(C5=Utileria!A15,"¿Cuál?","")</f>
        <v/>
      </c>
      <c r="C6" s="8"/>
      <c r="D6" s="5"/>
      <c r="E6" s="5"/>
      <c r="F6" s="53" t="str">
        <f>IF(H5=Utileria!C30,"¿Cuál?","")</f>
        <v/>
      </c>
      <c r="G6" s="53"/>
      <c r="H6" s="44"/>
      <c r="I6" s="44"/>
      <c r="J6" s="44"/>
      <c r="K6" s="45" t="s">
        <v>31</v>
      </c>
      <c r="L6" s="45"/>
      <c r="M6" s="51"/>
      <c r="N6" s="52"/>
    </row>
    <row r="7" spans="2:14" x14ac:dyDescent="0.35">
      <c r="B7" s="5"/>
      <c r="C7" s="5"/>
      <c r="D7" s="5"/>
      <c r="E7" s="5"/>
      <c r="H7" s="5"/>
    </row>
    <row r="8" spans="2:14" x14ac:dyDescent="0.35">
      <c r="B8" s="48" t="s">
        <v>27</v>
      </c>
      <c r="C8" s="48"/>
      <c r="D8" s="49">
        <v>10</v>
      </c>
      <c r="E8" s="49"/>
      <c r="F8" s="49"/>
      <c r="H8" s="5"/>
      <c r="I8" s="45" t="s">
        <v>30</v>
      </c>
      <c r="J8" s="45"/>
    </row>
    <row r="9" spans="2:14" x14ac:dyDescent="0.35">
      <c r="B9" s="53" t="str">
        <f>IF(D8=Utileria!E12,"¿Cuál?","")</f>
        <v/>
      </c>
      <c r="C9" s="53"/>
      <c r="D9" s="44"/>
      <c r="E9" s="44"/>
      <c r="F9" s="44"/>
      <c r="G9" s="35"/>
      <c r="H9" s="5"/>
    </row>
    <row r="10" spans="2:14" x14ac:dyDescent="0.35">
      <c r="K10" s="50"/>
      <c r="L10" s="50"/>
      <c r="M10" s="50"/>
      <c r="N10" s="50"/>
    </row>
    <row r="11" spans="2:14" x14ac:dyDescent="0.35">
      <c r="B11" s="5"/>
      <c r="C11" s="5"/>
      <c r="D11" s="5"/>
      <c r="E11" s="5"/>
      <c r="F11" s="44"/>
      <c r="G11" s="44"/>
      <c r="H11" s="44"/>
      <c r="K11" s="50"/>
      <c r="L11" s="50"/>
      <c r="M11" s="50"/>
      <c r="N11" s="50"/>
    </row>
    <row r="12" spans="2:14" ht="15" thickBot="1" x14ac:dyDescent="0.4">
      <c r="B12" s="46" t="s">
        <v>5</v>
      </c>
      <c r="C12" s="46"/>
      <c r="D12" s="54"/>
      <c r="E12" s="54"/>
      <c r="F12" s="54"/>
      <c r="G12" s="54"/>
      <c r="H12" s="7" t="s">
        <v>39</v>
      </c>
      <c r="I12" s="7"/>
      <c r="J12" s="54"/>
      <c r="K12" s="54"/>
      <c r="L12" s="54"/>
      <c r="M12" s="54"/>
      <c r="N12" s="54"/>
    </row>
    <row r="15" spans="2:14" x14ac:dyDescent="0.35">
      <c r="B15" s="45" t="s">
        <v>40</v>
      </c>
      <c r="C15" s="45"/>
      <c r="D15" s="45"/>
      <c r="E15" s="45"/>
      <c r="F15" s="45"/>
      <c r="G15" s="45"/>
      <c r="H15" s="45"/>
      <c r="I15" s="45"/>
      <c r="J15" s="45"/>
      <c r="K15" s="45"/>
      <c r="L15" s="45"/>
      <c r="M15" s="45"/>
      <c r="N15" s="45"/>
    </row>
    <row r="17" spans="2:14" x14ac:dyDescent="0.35">
      <c r="B17" s="7" t="s">
        <v>10</v>
      </c>
      <c r="C17" s="7"/>
      <c r="D17" s="50">
        <v>7</v>
      </c>
      <c r="E17" s="50"/>
      <c r="F17" s="50"/>
      <c r="G17" s="8"/>
      <c r="H17" s="8"/>
      <c r="K17" s="7" t="s">
        <v>47</v>
      </c>
      <c r="L17" s="7"/>
      <c r="M17" s="55"/>
      <c r="N17" s="55"/>
    </row>
    <row r="18" spans="2:14" x14ac:dyDescent="0.35">
      <c r="B18" s="43" t="str">
        <f>IF(D17=Utileria!G9,"¿Cuál?","")</f>
        <v/>
      </c>
      <c r="C18" s="43"/>
      <c r="D18" s="41"/>
      <c r="E18" s="42"/>
      <c r="F18" s="42"/>
      <c r="G18" s="42"/>
      <c r="H18" s="42"/>
    </row>
    <row r="19" spans="2:14" ht="15" customHeight="1" x14ac:dyDescent="0.35">
      <c r="B19" s="59" t="s">
        <v>41</v>
      </c>
      <c r="C19" s="59"/>
      <c r="D19" s="45" t="s">
        <v>46</v>
      </c>
      <c r="E19" s="45"/>
      <c r="F19" s="45"/>
      <c r="G19" s="45"/>
      <c r="H19" s="45"/>
      <c r="I19" s="45"/>
      <c r="J19" s="45"/>
      <c r="K19" s="45"/>
      <c r="L19" s="45"/>
      <c r="M19" s="45"/>
      <c r="N19" s="45"/>
    </row>
    <row r="20" spans="2:14" ht="317" customHeight="1" x14ac:dyDescent="0.35">
      <c r="B20" s="59"/>
      <c r="C20" s="59"/>
      <c r="D20" s="62"/>
      <c r="E20" s="62"/>
      <c r="F20" s="62"/>
      <c r="G20" s="62"/>
      <c r="H20" s="62"/>
      <c r="I20" s="62"/>
      <c r="J20" s="62"/>
      <c r="K20" s="62"/>
      <c r="L20" s="62"/>
      <c r="M20" s="62"/>
      <c r="N20" s="62"/>
    </row>
    <row r="21" spans="2:14" ht="15" customHeight="1" x14ac:dyDescent="0.35">
      <c r="B21" s="59"/>
      <c r="C21" s="59"/>
      <c r="D21" s="45" t="s">
        <v>65</v>
      </c>
      <c r="E21" s="45"/>
      <c r="F21" s="45"/>
      <c r="G21" s="45"/>
      <c r="H21" s="45"/>
      <c r="I21" s="45"/>
      <c r="J21" s="45"/>
      <c r="K21" s="45"/>
      <c r="L21" s="45"/>
      <c r="M21" s="45"/>
      <c r="N21" s="45"/>
    </row>
    <row r="22" spans="2:14" ht="409.5" customHeight="1" x14ac:dyDescent="0.35">
      <c r="B22" s="59"/>
      <c r="C22" s="59"/>
      <c r="D22" s="60"/>
      <c r="E22" s="60"/>
      <c r="F22" s="60"/>
      <c r="G22" s="60"/>
      <c r="H22" s="60"/>
      <c r="I22" s="60"/>
      <c r="J22" s="60"/>
      <c r="K22" s="60"/>
      <c r="L22" s="60"/>
      <c r="M22" s="60"/>
      <c r="N22" s="60"/>
    </row>
    <row r="23" spans="2:14" ht="15" customHeight="1" x14ac:dyDescent="0.35">
      <c r="B23" s="59"/>
      <c r="C23" s="59"/>
      <c r="D23" s="45" t="s">
        <v>45</v>
      </c>
      <c r="E23" s="45"/>
      <c r="F23" s="45"/>
      <c r="G23" s="45"/>
      <c r="H23" s="45"/>
      <c r="I23" s="45"/>
      <c r="J23" s="45"/>
      <c r="K23" s="45"/>
      <c r="L23" s="45"/>
      <c r="M23" s="45"/>
      <c r="N23" s="45"/>
    </row>
    <row r="24" spans="2:14" ht="88.5" customHeight="1" x14ac:dyDescent="0.35">
      <c r="B24" s="59"/>
      <c r="C24" s="59"/>
      <c r="D24" s="60"/>
      <c r="E24" s="60"/>
      <c r="F24" s="60"/>
      <c r="G24" s="60"/>
      <c r="H24" s="60"/>
      <c r="I24" s="60"/>
      <c r="J24" s="60"/>
      <c r="K24" s="60"/>
      <c r="L24" s="60"/>
      <c r="M24" s="60"/>
      <c r="N24" s="60"/>
    </row>
    <row r="25" spans="2:14" x14ac:dyDescent="0.35">
      <c r="D25" s="9"/>
      <c r="E25" s="9"/>
      <c r="F25" s="9"/>
      <c r="G25" s="9"/>
      <c r="H25" s="9"/>
      <c r="I25" s="9"/>
      <c r="J25" s="9"/>
      <c r="K25" s="9"/>
      <c r="L25" s="9"/>
      <c r="M25" s="9"/>
      <c r="N25" s="9"/>
    </row>
    <row r="26" spans="2:14" ht="95.5" customHeight="1" x14ac:dyDescent="0.35">
      <c r="B26" s="59" t="s">
        <v>14</v>
      </c>
      <c r="C26" s="59"/>
      <c r="D26" s="58"/>
      <c r="E26" s="58"/>
      <c r="F26" s="58"/>
      <c r="G26" s="58"/>
      <c r="H26" s="58"/>
      <c r="I26" s="58"/>
      <c r="J26" s="58"/>
      <c r="K26" s="58"/>
      <c r="L26" s="58"/>
      <c r="M26" s="58"/>
      <c r="N26" s="58"/>
    </row>
    <row r="27" spans="2:14" x14ac:dyDescent="0.35">
      <c r="B27" s="5"/>
      <c r="C27" s="10"/>
      <c r="D27" s="9"/>
      <c r="E27" s="9"/>
      <c r="F27" s="9"/>
      <c r="G27" s="9"/>
      <c r="H27" s="9"/>
      <c r="I27" s="9"/>
      <c r="J27" s="9"/>
      <c r="K27" s="9"/>
      <c r="L27" s="9"/>
      <c r="M27" s="9"/>
      <c r="N27" s="9"/>
    </row>
    <row r="28" spans="2:14" ht="30" customHeight="1" x14ac:dyDescent="0.35">
      <c r="B28" s="59" t="s">
        <v>15</v>
      </c>
      <c r="C28" s="59"/>
      <c r="D28" s="58"/>
      <c r="E28" s="61"/>
      <c r="F28" s="61"/>
      <c r="G28" s="61"/>
      <c r="H28" s="61"/>
      <c r="I28" s="61"/>
      <c r="J28" s="61"/>
      <c r="K28" s="61"/>
      <c r="L28" s="61"/>
      <c r="M28" s="61"/>
      <c r="N28" s="61"/>
    </row>
    <row r="29" spans="2:14" ht="14.25" customHeight="1" x14ac:dyDescent="0.35"/>
    <row r="30" spans="2:14" ht="15" customHeight="1" x14ac:dyDescent="0.35">
      <c r="B30" s="45" t="s">
        <v>61</v>
      </c>
      <c r="C30" s="45"/>
      <c r="D30" s="63"/>
      <c r="E30" s="63"/>
      <c r="F30" s="63"/>
      <c r="G30" s="63"/>
      <c r="H30" s="63"/>
      <c r="I30" s="63"/>
      <c r="J30" s="63"/>
      <c r="K30" s="63"/>
      <c r="L30" s="63"/>
      <c r="M30" s="63"/>
      <c r="N30" s="63"/>
    </row>
    <row r="31" spans="2:14" ht="15" customHeight="1" x14ac:dyDescent="0.35">
      <c r="B31" s="11"/>
      <c r="C31" s="11"/>
      <c r="D31" s="63"/>
      <c r="E31" s="63"/>
      <c r="F31" s="63"/>
      <c r="G31" s="63"/>
      <c r="H31" s="63"/>
      <c r="I31" s="63"/>
      <c r="J31" s="63"/>
      <c r="K31" s="63"/>
      <c r="L31" s="63"/>
      <c r="M31" s="63"/>
      <c r="N31" s="63"/>
    </row>
    <row r="32" spans="2:14" ht="15" customHeight="1" x14ac:dyDescent="0.35">
      <c r="B32" s="12"/>
      <c r="C32" s="57"/>
      <c r="D32" s="57"/>
      <c r="E32" s="57"/>
      <c r="F32" s="57"/>
      <c r="G32" s="57"/>
      <c r="H32" s="57"/>
      <c r="I32" s="57"/>
      <c r="J32" s="57"/>
      <c r="K32" s="57"/>
      <c r="L32" s="57"/>
      <c r="M32" s="57"/>
      <c r="N32" s="57"/>
    </row>
    <row r="33" spans="2:14" ht="15" customHeight="1" x14ac:dyDescent="0.35">
      <c r="B33" s="12"/>
      <c r="C33" s="57"/>
      <c r="D33" s="57"/>
      <c r="E33" s="57"/>
      <c r="F33" s="57"/>
      <c r="G33" s="57"/>
      <c r="H33" s="57"/>
      <c r="I33" s="57"/>
      <c r="J33" s="57"/>
      <c r="K33" s="57"/>
      <c r="L33" s="57"/>
      <c r="M33" s="57"/>
      <c r="N33" s="57"/>
    </row>
    <row r="34" spans="2:14" ht="14.25" customHeight="1" x14ac:dyDescent="0.35"/>
    <row r="35" spans="2:14" x14ac:dyDescent="0.35">
      <c r="B35" s="45" t="s">
        <v>67</v>
      </c>
      <c r="C35" s="45"/>
      <c r="D35" s="45"/>
      <c r="E35" s="45"/>
      <c r="F35" s="45"/>
      <c r="G35" s="45"/>
      <c r="H35" s="45"/>
      <c r="I35" s="45"/>
      <c r="J35" s="45"/>
      <c r="K35" s="45"/>
      <c r="L35" s="45"/>
      <c r="M35" s="45"/>
      <c r="N35" s="45"/>
    </row>
    <row r="36" spans="2:14" ht="15" customHeight="1" x14ac:dyDescent="0.35"/>
    <row r="37" spans="2:14" ht="15" customHeight="1" thickBot="1" x14ac:dyDescent="0.4">
      <c r="B37" s="46" t="s">
        <v>0</v>
      </c>
      <c r="C37" s="46"/>
      <c r="D37" s="54"/>
      <c r="E37" s="54"/>
      <c r="F37" s="54"/>
      <c r="G37" s="54"/>
      <c r="H37" s="45" t="s">
        <v>19</v>
      </c>
      <c r="I37" s="45"/>
      <c r="J37" s="54"/>
      <c r="K37" s="54"/>
      <c r="L37" s="54"/>
      <c r="M37" s="54"/>
    </row>
    <row r="38" spans="2:14" ht="15" customHeight="1" x14ac:dyDescent="0.35"/>
    <row r="39" spans="2:14" ht="15" customHeight="1" x14ac:dyDescent="0.35">
      <c r="B39" s="45" t="s">
        <v>37</v>
      </c>
      <c r="C39" s="45"/>
      <c r="D39" s="56"/>
      <c r="E39" s="50"/>
      <c r="F39" s="50"/>
      <c r="G39" s="50"/>
      <c r="H39" s="50"/>
      <c r="I39" s="50"/>
      <c r="J39" s="50"/>
      <c r="K39" s="50"/>
      <c r="L39" s="50"/>
      <c r="M39" s="50"/>
      <c r="N39" s="50"/>
    </row>
    <row r="40" spans="2:14" ht="31" customHeight="1" x14ac:dyDescent="0.35">
      <c r="B40" s="11"/>
      <c r="C40" s="11"/>
      <c r="D40" s="50"/>
      <c r="E40" s="50"/>
      <c r="F40" s="50"/>
      <c r="G40" s="50"/>
      <c r="H40" s="50"/>
      <c r="I40" s="50"/>
      <c r="J40" s="50"/>
      <c r="K40" s="50"/>
      <c r="L40" s="50"/>
      <c r="M40" s="50"/>
      <c r="N40" s="50"/>
    </row>
    <row r="42" spans="2:14" ht="39" customHeight="1" x14ac:dyDescent="0.35"/>
  </sheetData>
  <dataConsolidate/>
  <mergeCells count="44">
    <mergeCell ref="C32:N32"/>
    <mergeCell ref="C33:N33"/>
    <mergeCell ref="D26:N26"/>
    <mergeCell ref="B26:C26"/>
    <mergeCell ref="D22:N22"/>
    <mergeCell ref="D23:N23"/>
    <mergeCell ref="D24:N24"/>
    <mergeCell ref="B19:C24"/>
    <mergeCell ref="B30:C30"/>
    <mergeCell ref="B28:C28"/>
    <mergeCell ref="D28:N28"/>
    <mergeCell ref="D19:N19"/>
    <mergeCell ref="D20:N20"/>
    <mergeCell ref="D21:N21"/>
    <mergeCell ref="D30:N31"/>
    <mergeCell ref="D39:N40"/>
    <mergeCell ref="B35:N35"/>
    <mergeCell ref="B37:C37"/>
    <mergeCell ref="D37:G37"/>
    <mergeCell ref="H37:I37"/>
    <mergeCell ref="J37:M37"/>
    <mergeCell ref="B39:C39"/>
    <mergeCell ref="B12:C12"/>
    <mergeCell ref="D12:G12"/>
    <mergeCell ref="D17:F17"/>
    <mergeCell ref="M17:N17"/>
    <mergeCell ref="J12:N12"/>
    <mergeCell ref="B15:N15"/>
    <mergeCell ref="B18:C18"/>
    <mergeCell ref="F11:H11"/>
    <mergeCell ref="B3:N3"/>
    <mergeCell ref="F5:G5"/>
    <mergeCell ref="K5:L5"/>
    <mergeCell ref="M5:N5"/>
    <mergeCell ref="D9:F9"/>
    <mergeCell ref="B8:C8"/>
    <mergeCell ref="D8:F8"/>
    <mergeCell ref="I8:J8"/>
    <mergeCell ref="K10:N11"/>
    <mergeCell ref="H6:J6"/>
    <mergeCell ref="K6:L6"/>
    <mergeCell ref="M6:N6"/>
    <mergeCell ref="F6:G6"/>
    <mergeCell ref="B9:C9"/>
  </mergeCells>
  <conditionalFormatting sqref="B6:C6">
    <cfRule type="containsText" dxfId="3" priority="4" operator="containsText" text="¿Cuál?">
      <formula>NOT(ISERROR(SEARCH("¿Cuál?",B6)))</formula>
    </cfRule>
  </conditionalFormatting>
  <conditionalFormatting sqref="B9:C9">
    <cfRule type="containsText" dxfId="2" priority="8" operator="containsText" text="¿Cuál?">
      <formula>NOT(ISERROR(SEARCH("¿Cuál?",B9)))</formula>
    </cfRule>
  </conditionalFormatting>
  <conditionalFormatting sqref="B18:C18">
    <cfRule type="containsText" dxfId="1" priority="6" operator="containsText" text="¿Cuál?">
      <formula>NOT(ISERROR(SEARCH("¿Cuál?",B18)))</formula>
    </cfRule>
  </conditionalFormatting>
  <conditionalFormatting sqref="F6">
    <cfRule type="containsText" dxfId="0" priority="1" operator="containsText" text="¿Cuál?">
      <formula>NOT(ISERROR(SEARCH("¿Cuál?",F6)))</formula>
    </cfRule>
  </conditionalFormatting>
  <pageMargins left="0.36458333333333331" right="0.32291666666666669" top="1.1770833333333333" bottom="0.75" header="0.3" footer="0.3"/>
  <pageSetup scale="64" orientation="landscape" r:id="rId1"/>
  <headerFooter>
    <oddHeader>&amp;L&amp;G&amp;CSistema Integrado de Gestión
Documento: Formato
Área: BID
Nombre: Solicitud de Pruebas QA&amp;RClave: BID-PMC-FOR-00017
Clasificación: Interna 
Versión: 04 
Emisión: 19-Sep-2024</oddHeader>
  </headerFooter>
  <rowBreaks count="2" manualBreakCount="2">
    <brk id="19" max="14" man="1"/>
    <brk id="22" max="16383" man="1"/>
  </rowBreaks>
  <drawing r:id="rId2"/>
  <legacyDrawing r:id="rId3"/>
  <legacyDrawingHF r:id="rId4"/>
  <mc:AlternateContent xmlns:mc="http://schemas.openxmlformats.org/markup-compatibility/2006">
    <mc:Choice Requires="x14">
      <controls>
        <mc:AlternateContent xmlns:mc="http://schemas.openxmlformats.org/markup-compatibility/2006">
          <mc:Choice Requires="x14">
            <control shapeId="5121" r:id="rId5" name="Drop Down 1">
              <controlPr locked="0" defaultSize="0" autoLine="0" autoPict="0">
                <anchor moveWithCells="1">
                  <from>
                    <xdr:col>7</xdr:col>
                    <xdr:colOff>0</xdr:colOff>
                    <xdr:row>4</xdr:row>
                    <xdr:rowOff>0</xdr:rowOff>
                  </from>
                  <to>
                    <xdr:col>9</xdr:col>
                    <xdr:colOff>742950</xdr:colOff>
                    <xdr:row>5</xdr:row>
                    <xdr:rowOff>0</xdr:rowOff>
                  </to>
                </anchor>
              </controlPr>
            </control>
          </mc:Choice>
        </mc:AlternateContent>
        <mc:AlternateContent xmlns:mc="http://schemas.openxmlformats.org/markup-compatibility/2006">
          <mc:Choice Requires="x14">
            <control shapeId="5123" r:id="rId6" name="Drop Down 3">
              <controlPr defaultSize="0" autoLine="0" autoPict="0">
                <anchor moveWithCells="1">
                  <from>
                    <xdr:col>3</xdr:col>
                    <xdr:colOff>0</xdr:colOff>
                    <xdr:row>7</xdr:row>
                    <xdr:rowOff>12700</xdr:rowOff>
                  </from>
                  <to>
                    <xdr:col>7</xdr:col>
                    <xdr:colOff>584200</xdr:colOff>
                    <xdr:row>8</xdr:row>
                    <xdr:rowOff>0</xdr:rowOff>
                  </to>
                </anchor>
              </controlPr>
            </control>
          </mc:Choice>
        </mc:AlternateContent>
        <mc:AlternateContent xmlns:mc="http://schemas.openxmlformats.org/markup-compatibility/2006">
          <mc:Choice Requires="x14">
            <control shapeId="5124" r:id="rId7" name="Drop Down 4">
              <controlPr defaultSize="0" autoLine="0" autoPict="0">
                <anchor moveWithCells="1">
                  <from>
                    <xdr:col>3</xdr:col>
                    <xdr:colOff>19050</xdr:colOff>
                    <xdr:row>15</xdr:row>
                    <xdr:rowOff>165100</xdr:rowOff>
                  </from>
                  <to>
                    <xdr:col>7</xdr:col>
                    <xdr:colOff>412750</xdr:colOff>
                    <xdr:row>16</xdr:row>
                    <xdr:rowOff>165100</xdr:rowOff>
                  </to>
                </anchor>
              </controlPr>
            </control>
          </mc:Choice>
        </mc:AlternateContent>
        <mc:AlternateContent xmlns:mc="http://schemas.openxmlformats.org/markup-compatibility/2006">
          <mc:Choice Requires="x14">
            <control shapeId="5127" r:id="rId8" name="Drop Down 7">
              <controlPr defaultSize="0" autoLine="0" autoPict="0">
                <anchor moveWithCells="1">
                  <from>
                    <xdr:col>10</xdr:col>
                    <xdr:colOff>0</xdr:colOff>
                    <xdr:row>7</xdr:row>
                    <xdr:rowOff>0</xdr:rowOff>
                  </from>
                  <to>
                    <xdr:col>14</xdr:col>
                    <xdr:colOff>0</xdr:colOff>
                    <xdr:row>8</xdr:row>
                    <xdr:rowOff>0</xdr:rowOff>
                  </to>
                </anchor>
              </controlPr>
            </control>
          </mc:Choice>
        </mc:AlternateContent>
        <mc:AlternateContent xmlns:mc="http://schemas.openxmlformats.org/markup-compatibility/2006">
          <mc:Choice Requires="x14">
            <control shapeId="5122" r:id="rId9" name="Drop Down 2">
              <controlPr defaultSize="0" autoLine="0" autoPict="0">
                <anchor moveWithCells="1">
                  <from>
                    <xdr:col>2</xdr:col>
                    <xdr:colOff>0</xdr:colOff>
                    <xdr:row>4</xdr:row>
                    <xdr:rowOff>0</xdr:rowOff>
                  </from>
                  <to>
                    <xdr:col>4</xdr:col>
                    <xdr:colOff>457200</xdr:colOff>
                    <xdr:row>5</xdr:row>
                    <xdr:rowOff>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15D5E8-ED34-405C-884D-04B568A1C8CC}">
  <dimension ref="B2:N51"/>
  <sheetViews>
    <sheetView showGridLines="0" view="pageBreakPreview" topLeftCell="A5" zoomScale="80" zoomScaleNormal="80" zoomScaleSheetLayoutView="80" workbookViewId="0">
      <selection activeCell="R15" sqref="R15"/>
    </sheetView>
  </sheetViews>
  <sheetFormatPr defaultColWidth="11.453125" defaultRowHeight="14.5" x14ac:dyDescent="0.35"/>
  <cols>
    <col min="1" max="1" width="7.7265625" style="2" customWidth="1"/>
    <col min="2" max="2" width="12.26953125" style="2" customWidth="1"/>
    <col min="3" max="3" width="11.453125" style="2" customWidth="1"/>
    <col min="4" max="4" width="14.1796875" style="2" customWidth="1"/>
    <col min="5" max="5" width="12.7265625" style="2" customWidth="1"/>
    <col min="6" max="7" width="11.453125" style="2"/>
    <col min="8" max="8" width="12.81640625" style="2" customWidth="1"/>
    <col min="9" max="9" width="11.453125" style="2"/>
    <col min="10" max="10" width="15.7265625" style="2" customWidth="1"/>
    <col min="11" max="13" width="11.453125" style="2"/>
    <col min="14" max="14" width="12.26953125" style="2" customWidth="1"/>
    <col min="15" max="15" width="10.54296875" style="2" customWidth="1"/>
    <col min="16" max="16384" width="11.453125" style="2"/>
  </cols>
  <sheetData>
    <row r="2" spans="2:14" x14ac:dyDescent="0.35">
      <c r="B2" s="64"/>
      <c r="C2" s="64"/>
      <c r="D2" s="64"/>
      <c r="E2" s="65" t="s">
        <v>8</v>
      </c>
      <c r="F2" s="65"/>
      <c r="G2" s="65"/>
      <c r="H2" s="65"/>
      <c r="I2" s="65"/>
      <c r="J2" s="66" t="s">
        <v>20</v>
      </c>
      <c r="K2" s="66"/>
      <c r="L2" s="67" t="s">
        <v>23</v>
      </c>
      <c r="M2" s="67"/>
      <c r="N2" s="67"/>
    </row>
    <row r="3" spans="2:14" x14ac:dyDescent="0.35">
      <c r="B3" s="64"/>
      <c r="C3" s="64"/>
      <c r="D3" s="64"/>
      <c r="E3" s="65"/>
      <c r="F3" s="65"/>
      <c r="G3" s="65"/>
      <c r="H3" s="65"/>
      <c r="I3" s="65"/>
      <c r="J3" s="66" t="s">
        <v>38</v>
      </c>
      <c r="K3" s="66"/>
      <c r="L3" s="67">
        <v>4</v>
      </c>
      <c r="M3" s="67"/>
      <c r="N3" s="67"/>
    </row>
    <row r="4" spans="2:14" x14ac:dyDescent="0.35">
      <c r="B4" s="64"/>
      <c r="C4" s="64"/>
      <c r="D4" s="64"/>
      <c r="E4" s="65"/>
      <c r="F4" s="65"/>
      <c r="G4" s="65"/>
      <c r="H4" s="65"/>
      <c r="I4" s="65"/>
      <c r="J4" s="66" t="s">
        <v>21</v>
      </c>
      <c r="K4" s="66"/>
      <c r="L4" s="67" t="s">
        <v>24</v>
      </c>
      <c r="M4" s="67"/>
      <c r="N4" s="67"/>
    </row>
    <row r="5" spans="2:14" x14ac:dyDescent="0.35">
      <c r="B5" s="64"/>
      <c r="C5" s="64"/>
      <c r="D5" s="64"/>
      <c r="E5" s="65"/>
      <c r="F5" s="65"/>
      <c r="G5" s="65"/>
      <c r="H5" s="65"/>
      <c r="I5" s="65"/>
      <c r="J5" s="66" t="s">
        <v>22</v>
      </c>
      <c r="K5" s="66"/>
      <c r="L5" s="67" t="s">
        <v>25</v>
      </c>
      <c r="M5" s="67"/>
      <c r="N5" s="67"/>
    </row>
    <row r="7" spans="2:14" x14ac:dyDescent="0.35">
      <c r="B7" s="45" t="s">
        <v>26</v>
      </c>
      <c r="C7" s="45"/>
      <c r="D7" s="45"/>
      <c r="E7" s="45"/>
      <c r="F7" s="45"/>
      <c r="G7" s="45"/>
      <c r="H7" s="45"/>
      <c r="I7" s="45"/>
      <c r="J7" s="45"/>
      <c r="K7" s="45"/>
      <c r="L7" s="45"/>
      <c r="M7" s="45"/>
      <c r="N7" s="45"/>
    </row>
    <row r="9" spans="2:14" ht="15" customHeight="1" x14ac:dyDescent="0.35">
      <c r="B9" s="4" t="s">
        <v>1</v>
      </c>
      <c r="C9" s="49"/>
      <c r="D9" s="49"/>
      <c r="E9" s="49"/>
      <c r="F9" s="46" t="s">
        <v>2</v>
      </c>
      <c r="G9" s="46"/>
      <c r="H9" s="50">
        <v>1</v>
      </c>
      <c r="I9" s="50"/>
      <c r="J9" s="50"/>
      <c r="K9" s="45" t="s">
        <v>4</v>
      </c>
      <c r="L9" s="45"/>
      <c r="M9" s="47"/>
      <c r="N9" s="47"/>
    </row>
    <row r="10" spans="2:14" ht="17.25" customHeight="1" x14ac:dyDescent="0.35">
      <c r="B10" s="5"/>
      <c r="C10" s="5"/>
      <c r="D10" s="5"/>
      <c r="E10" s="5"/>
      <c r="F10" s="6"/>
      <c r="G10" s="6"/>
      <c r="H10" s="69"/>
      <c r="I10" s="69"/>
      <c r="J10" s="69"/>
      <c r="K10" s="45" t="s">
        <v>31</v>
      </c>
      <c r="L10" s="45"/>
      <c r="M10" s="52"/>
      <c r="N10" s="52"/>
    </row>
    <row r="11" spans="2:14" x14ac:dyDescent="0.35">
      <c r="B11" s="5"/>
      <c r="C11" s="5"/>
      <c r="D11" s="5"/>
      <c r="E11" s="5"/>
      <c r="H11" s="5"/>
    </row>
    <row r="12" spans="2:14" x14ac:dyDescent="0.35">
      <c r="B12" s="48" t="s">
        <v>27</v>
      </c>
      <c r="C12" s="48"/>
      <c r="D12" s="49"/>
      <c r="E12" s="49"/>
      <c r="F12" s="49"/>
      <c r="H12" s="5"/>
      <c r="I12" s="45" t="s">
        <v>30</v>
      </c>
      <c r="J12" s="45"/>
    </row>
    <row r="13" spans="2:14" x14ac:dyDescent="0.35">
      <c r="B13" s="5"/>
      <c r="C13" s="5"/>
      <c r="D13" s="5"/>
      <c r="E13" s="5"/>
      <c r="F13" s="5"/>
      <c r="G13" s="5"/>
      <c r="H13" s="5"/>
    </row>
    <row r="14" spans="2:14" x14ac:dyDescent="0.35">
      <c r="K14" s="50"/>
      <c r="L14" s="50"/>
      <c r="M14" s="50"/>
      <c r="N14" s="50"/>
    </row>
    <row r="15" spans="2:14" x14ac:dyDescent="0.35">
      <c r="B15" s="5"/>
      <c r="C15" s="5"/>
      <c r="D15" s="5"/>
      <c r="E15" s="5"/>
      <c r="F15" s="5"/>
      <c r="G15" s="5"/>
      <c r="H15" s="5"/>
      <c r="K15" s="50"/>
      <c r="L15" s="50"/>
      <c r="M15" s="50"/>
      <c r="N15" s="50"/>
    </row>
    <row r="16" spans="2:14" ht="15" thickBot="1" x14ac:dyDescent="0.4">
      <c r="B16" s="46" t="s">
        <v>5</v>
      </c>
      <c r="C16" s="46"/>
      <c r="D16" s="54"/>
      <c r="E16" s="54"/>
      <c r="F16" s="54"/>
      <c r="G16" s="54"/>
      <c r="H16" s="7" t="s">
        <v>39</v>
      </c>
      <c r="I16" s="7"/>
      <c r="J16" s="54"/>
      <c r="K16" s="54"/>
      <c r="L16" s="54"/>
      <c r="M16" s="54"/>
      <c r="N16" s="54"/>
    </row>
    <row r="19" spans="2:14" x14ac:dyDescent="0.35">
      <c r="B19" s="45" t="s">
        <v>40</v>
      </c>
      <c r="C19" s="45"/>
      <c r="D19" s="45"/>
      <c r="E19" s="45"/>
      <c r="F19" s="45"/>
      <c r="G19" s="45"/>
      <c r="H19" s="45"/>
      <c r="I19" s="45"/>
      <c r="J19" s="45"/>
      <c r="K19" s="45"/>
      <c r="L19" s="45"/>
      <c r="M19" s="45"/>
      <c r="N19" s="45"/>
    </row>
    <row r="21" spans="2:14" x14ac:dyDescent="0.35">
      <c r="B21" s="7" t="s">
        <v>10</v>
      </c>
      <c r="C21" s="7"/>
      <c r="D21" s="50"/>
      <c r="E21" s="50"/>
      <c r="F21" s="50"/>
      <c r="G21" s="8"/>
      <c r="H21" s="8"/>
      <c r="K21" s="7" t="s">
        <v>47</v>
      </c>
      <c r="L21" s="7"/>
      <c r="M21" s="55"/>
      <c r="N21" s="55"/>
    </row>
    <row r="23" spans="2:14" ht="15" customHeight="1" x14ac:dyDescent="0.35">
      <c r="B23" s="59" t="s">
        <v>41</v>
      </c>
      <c r="C23" s="59"/>
      <c r="D23" s="45" t="s">
        <v>46</v>
      </c>
      <c r="E23" s="45"/>
      <c r="F23" s="45"/>
      <c r="G23" s="45"/>
      <c r="H23" s="45"/>
      <c r="I23" s="45"/>
      <c r="J23" s="45"/>
      <c r="K23" s="45"/>
      <c r="L23" s="45"/>
      <c r="M23" s="45"/>
      <c r="N23" s="45"/>
    </row>
    <row r="24" spans="2:14" ht="15" customHeight="1" x14ac:dyDescent="0.35">
      <c r="B24" s="59"/>
      <c r="C24" s="59"/>
      <c r="D24" s="68"/>
      <c r="E24" s="68"/>
      <c r="F24" s="68"/>
      <c r="G24" s="68"/>
      <c r="H24" s="68"/>
      <c r="I24" s="68"/>
      <c r="J24" s="68"/>
      <c r="K24" s="68"/>
      <c r="L24" s="68"/>
      <c r="M24" s="68"/>
      <c r="N24" s="68"/>
    </row>
    <row r="25" spans="2:14" x14ac:dyDescent="0.35">
      <c r="B25" s="59"/>
      <c r="C25" s="59"/>
      <c r="D25" s="68"/>
      <c r="E25" s="68"/>
      <c r="F25" s="68"/>
      <c r="G25" s="68"/>
      <c r="H25" s="68"/>
      <c r="I25" s="68"/>
      <c r="J25" s="68"/>
      <c r="K25" s="68"/>
      <c r="L25" s="68"/>
      <c r="M25" s="68"/>
      <c r="N25" s="68"/>
    </row>
    <row r="26" spans="2:14" ht="15" customHeight="1" x14ac:dyDescent="0.35">
      <c r="B26" s="59"/>
      <c r="C26" s="59"/>
      <c r="D26" s="45" t="s">
        <v>65</v>
      </c>
      <c r="E26" s="45"/>
      <c r="F26" s="45"/>
      <c r="G26" s="45"/>
      <c r="H26" s="45"/>
      <c r="I26" s="45"/>
      <c r="J26" s="45"/>
      <c r="K26" s="45"/>
      <c r="L26" s="45"/>
      <c r="M26" s="45"/>
      <c r="N26" s="45"/>
    </row>
    <row r="27" spans="2:14" x14ac:dyDescent="0.35">
      <c r="B27" s="59"/>
      <c r="C27" s="59"/>
      <c r="D27" s="68"/>
      <c r="E27" s="68"/>
      <c r="F27" s="68"/>
      <c r="G27" s="68"/>
      <c r="H27" s="68"/>
      <c r="I27" s="68"/>
      <c r="J27" s="68"/>
      <c r="K27" s="68"/>
      <c r="L27" s="68"/>
      <c r="M27" s="68"/>
      <c r="N27" s="68"/>
    </row>
    <row r="28" spans="2:14" x14ac:dyDescent="0.35">
      <c r="B28" s="59"/>
      <c r="C28" s="59"/>
      <c r="D28" s="68"/>
      <c r="E28" s="68"/>
      <c r="F28" s="68"/>
      <c r="G28" s="68"/>
      <c r="H28" s="68"/>
      <c r="I28" s="68"/>
      <c r="J28" s="68"/>
      <c r="K28" s="68"/>
      <c r="L28" s="68"/>
      <c r="M28" s="68"/>
      <c r="N28" s="68"/>
    </row>
    <row r="29" spans="2:14" ht="15" customHeight="1" x14ac:dyDescent="0.35">
      <c r="B29" s="59"/>
      <c r="C29" s="59"/>
      <c r="D29" s="45" t="s">
        <v>45</v>
      </c>
      <c r="E29" s="45"/>
      <c r="F29" s="45"/>
      <c r="G29" s="45"/>
      <c r="H29" s="45"/>
      <c r="I29" s="45"/>
      <c r="J29" s="45"/>
      <c r="K29" s="45"/>
      <c r="L29" s="45"/>
      <c r="M29" s="45"/>
      <c r="N29" s="45"/>
    </row>
    <row r="30" spans="2:14" x14ac:dyDescent="0.35">
      <c r="B30" s="59"/>
      <c r="C30" s="59"/>
      <c r="D30" s="68"/>
      <c r="E30" s="68"/>
      <c r="F30" s="68"/>
      <c r="G30" s="68"/>
      <c r="H30" s="68"/>
      <c r="I30" s="68"/>
      <c r="J30" s="68"/>
      <c r="K30" s="68"/>
      <c r="L30" s="68"/>
      <c r="M30" s="68"/>
      <c r="N30" s="68"/>
    </row>
    <row r="31" spans="2:14" x14ac:dyDescent="0.35">
      <c r="B31" s="59"/>
      <c r="C31" s="59"/>
      <c r="D31" s="68"/>
      <c r="E31" s="68"/>
      <c r="F31" s="68"/>
      <c r="G31" s="68"/>
      <c r="H31" s="68"/>
      <c r="I31" s="68"/>
      <c r="J31" s="68"/>
      <c r="K31" s="68"/>
      <c r="L31" s="68"/>
      <c r="M31" s="68"/>
      <c r="N31" s="68"/>
    </row>
    <row r="32" spans="2:14" x14ac:dyDescent="0.35">
      <c r="D32" s="9"/>
      <c r="E32" s="9"/>
      <c r="F32" s="9"/>
      <c r="G32" s="9"/>
      <c r="H32" s="9"/>
      <c r="I32" s="9"/>
      <c r="J32" s="9"/>
      <c r="K32" s="9"/>
      <c r="L32" s="9"/>
      <c r="M32" s="9"/>
      <c r="N32" s="9"/>
    </row>
    <row r="33" spans="2:14" ht="15" customHeight="1" x14ac:dyDescent="0.35">
      <c r="B33" s="59" t="s">
        <v>14</v>
      </c>
      <c r="C33" s="59"/>
      <c r="D33" s="58" t="s">
        <v>48</v>
      </c>
      <c r="E33" s="58"/>
      <c r="F33" s="58"/>
      <c r="G33" s="58"/>
      <c r="H33" s="58"/>
      <c r="I33" s="58"/>
      <c r="J33" s="58"/>
      <c r="K33" s="58"/>
      <c r="L33" s="58"/>
      <c r="M33" s="58"/>
      <c r="N33" s="58"/>
    </row>
    <row r="34" spans="2:14" x14ac:dyDescent="0.35">
      <c r="B34" s="59"/>
      <c r="C34" s="59"/>
      <c r="D34" s="58"/>
      <c r="E34" s="58"/>
      <c r="F34" s="58"/>
      <c r="G34" s="58"/>
      <c r="H34" s="58"/>
      <c r="I34" s="58"/>
      <c r="J34" s="58"/>
      <c r="K34" s="58"/>
      <c r="L34" s="58"/>
      <c r="M34" s="58"/>
      <c r="N34" s="58"/>
    </row>
    <row r="35" spans="2:14" x14ac:dyDescent="0.35">
      <c r="B35" s="59"/>
      <c r="C35" s="59"/>
      <c r="D35" s="58"/>
      <c r="E35" s="58"/>
      <c r="F35" s="58"/>
      <c r="G35" s="58"/>
      <c r="H35" s="58"/>
      <c r="I35" s="58"/>
      <c r="J35" s="58"/>
      <c r="K35" s="58"/>
      <c r="L35" s="58"/>
      <c r="M35" s="58"/>
      <c r="N35" s="58"/>
    </row>
    <row r="36" spans="2:14" x14ac:dyDescent="0.35">
      <c r="B36" s="5"/>
      <c r="C36" s="10"/>
      <c r="D36" s="9"/>
      <c r="E36" s="9"/>
      <c r="F36" s="9"/>
      <c r="G36" s="9"/>
      <c r="H36" s="9"/>
      <c r="I36" s="9"/>
      <c r="J36" s="9"/>
      <c r="K36" s="9"/>
      <c r="L36" s="9"/>
      <c r="M36" s="9"/>
      <c r="N36" s="9"/>
    </row>
    <row r="37" spans="2:14" x14ac:dyDescent="0.35">
      <c r="B37" s="59" t="s">
        <v>15</v>
      </c>
      <c r="C37" s="59"/>
      <c r="D37" s="58" t="s">
        <v>18</v>
      </c>
      <c r="E37" s="61"/>
      <c r="F37" s="61"/>
      <c r="G37" s="61"/>
      <c r="H37" s="61"/>
      <c r="I37" s="61"/>
      <c r="J37" s="61"/>
      <c r="K37" s="61"/>
      <c r="L37" s="61"/>
      <c r="M37" s="61"/>
      <c r="N37" s="61"/>
    </row>
    <row r="38" spans="2:14" x14ac:dyDescent="0.35">
      <c r="B38" s="59"/>
      <c r="C38" s="59"/>
      <c r="D38" s="61"/>
      <c r="E38" s="61"/>
      <c r="F38" s="61"/>
      <c r="G38" s="61"/>
      <c r="H38" s="61"/>
      <c r="I38" s="61"/>
      <c r="J38" s="61"/>
      <c r="K38" s="61"/>
      <c r="L38" s="61"/>
      <c r="M38" s="61"/>
      <c r="N38" s="61"/>
    </row>
    <row r="39" spans="2:14" ht="16.5" customHeight="1" x14ac:dyDescent="0.35"/>
    <row r="40" spans="2:14" ht="15" customHeight="1" x14ac:dyDescent="0.35">
      <c r="B40" s="45" t="s">
        <v>61</v>
      </c>
      <c r="C40" s="45"/>
      <c r="D40" s="70" t="str">
        <f>IF($H$9=1,Utileria!$L$15,IF($H$9=2,Utileria!$L$15,IF($H$9=3,Utileria!$L$15,IF($H$9=7,Utileria!L$15,IF($H$9=8,Utileria!$L$15,IF($H$9=16,Utileria!$L$15,IF($H$9=17,Utileria!$L$15,IF($H$9=19,Utileria!$L$15,IF($H$9=24,Utileria!$L$15,IF($H$9=25,Utileria!$L$15,""))))))))))</f>
        <v>¡ATENCIÓN! Para que tu solicitud sea atendida es necesario adjuntar los insumos que a continuación se muestran, en caso de no hacerlo, se puede incurrir en retrasos.</v>
      </c>
      <c r="E40" s="70"/>
      <c r="F40" s="70"/>
      <c r="G40" s="70"/>
      <c r="H40" s="70"/>
      <c r="I40" s="70"/>
      <c r="J40" s="70"/>
      <c r="K40" s="70"/>
      <c r="L40" s="70"/>
      <c r="M40" s="70"/>
      <c r="N40" s="70"/>
    </row>
    <row r="41" spans="2:14" ht="15" customHeight="1" x14ac:dyDescent="0.35">
      <c r="B41" s="11"/>
      <c r="C41" s="11"/>
      <c r="D41" s="70"/>
      <c r="E41" s="70"/>
      <c r="F41" s="70"/>
      <c r="G41" s="70"/>
      <c r="H41" s="70"/>
      <c r="I41" s="70"/>
      <c r="J41" s="70"/>
      <c r="K41" s="70"/>
      <c r="L41" s="70"/>
      <c r="M41" s="70"/>
      <c r="N41" s="70"/>
    </row>
    <row r="42" spans="2:14" ht="15" customHeight="1" x14ac:dyDescent="0.35">
      <c r="B42" s="12">
        <f>IF(C42="","", 1)</f>
        <v>1</v>
      </c>
      <c r="C42" s="57" t="str">
        <f>IF($H$9=1,Utileria!$L$9,IF($H$9=2,Utileria!$L$12,IF($H$9=3,Utileria!$L$11,IF($H$9=7,Utileria!L$6,IF($H$9=8,Utileria!$L$6,IF($H$9=16,Utileria!$L$5,IF($H$9=17,Utileria!$L$4,IF($H$9=19,Utileria!$L$4,IF($H$9=24,Utileria!$L$4,IF($H$9=25,Utileria!$L$4,"N/A"))))))))))</f>
        <v>Usuario y contraseña</v>
      </c>
      <c r="D42" s="57"/>
      <c r="E42" s="57"/>
      <c r="F42" s="57"/>
      <c r="G42" s="57"/>
      <c r="H42" s="57"/>
      <c r="I42" s="57"/>
      <c r="J42" s="57"/>
      <c r="K42" s="57"/>
      <c r="L42" s="57"/>
      <c r="M42" s="57"/>
      <c r="N42" s="57"/>
    </row>
    <row r="43" spans="2:14" ht="15" customHeight="1" x14ac:dyDescent="0.35">
      <c r="B43" s="12">
        <f>IF(C43="","", 2)</f>
        <v>2</v>
      </c>
      <c r="C43" s="57" t="str">
        <f>IF($H$9=1,Utileria!$L$10,IF($H$9=7,Utileria!$L$8,IF($H$9=8,Utileria!$L$7,IF($H$9=2,Utileria!$L$13,""))))</f>
        <v>Folio ligado al usuario, adicional ese folio debe de contener datos del miembro de QA.</v>
      </c>
      <c r="D43" s="57"/>
      <c r="E43" s="57"/>
      <c r="F43" s="57"/>
      <c r="G43" s="57"/>
      <c r="H43" s="57"/>
      <c r="I43" s="57"/>
      <c r="J43" s="57"/>
      <c r="K43" s="57"/>
      <c r="L43" s="57"/>
      <c r="M43" s="57"/>
      <c r="N43" s="57"/>
    </row>
    <row r="44" spans="2:14" ht="26.25" customHeight="1" x14ac:dyDescent="0.35"/>
    <row r="45" spans="2:14" x14ac:dyDescent="0.35">
      <c r="B45" s="45" t="s">
        <v>67</v>
      </c>
      <c r="C45" s="45"/>
      <c r="D45" s="45"/>
      <c r="E45" s="45"/>
      <c r="F45" s="45"/>
      <c r="G45" s="45"/>
      <c r="H45" s="45"/>
      <c r="I45" s="45"/>
      <c r="J45" s="45"/>
      <c r="K45" s="45"/>
      <c r="L45" s="45"/>
      <c r="M45" s="45"/>
      <c r="N45" s="45"/>
    </row>
    <row r="46" spans="2:14" ht="15" customHeight="1" x14ac:dyDescent="0.35"/>
    <row r="47" spans="2:14" ht="15" customHeight="1" thickBot="1" x14ac:dyDescent="0.4">
      <c r="B47" s="46" t="s">
        <v>0</v>
      </c>
      <c r="C47" s="46"/>
      <c r="D47" s="54"/>
      <c r="E47" s="54"/>
      <c r="F47" s="54"/>
      <c r="G47" s="54"/>
      <c r="H47" s="45" t="s">
        <v>19</v>
      </c>
      <c r="I47" s="45"/>
      <c r="J47" s="54"/>
      <c r="K47" s="54"/>
      <c r="L47" s="54"/>
      <c r="M47" s="54"/>
    </row>
    <row r="48" spans="2:14" ht="15" customHeight="1" x14ac:dyDescent="0.35"/>
    <row r="49" spans="2:14" ht="15" customHeight="1" x14ac:dyDescent="0.35">
      <c r="B49" s="48" t="s">
        <v>37</v>
      </c>
      <c r="C49" s="48"/>
      <c r="D49" s="50"/>
      <c r="E49" s="50"/>
      <c r="F49" s="50"/>
      <c r="G49" s="50"/>
      <c r="H49" s="50"/>
      <c r="I49" s="50"/>
      <c r="J49" s="50"/>
      <c r="K49" s="50"/>
      <c r="L49" s="50"/>
      <c r="M49" s="50"/>
      <c r="N49" s="50"/>
    </row>
    <row r="50" spans="2:14" ht="15" customHeight="1" x14ac:dyDescent="0.35">
      <c r="B50" s="48"/>
      <c r="C50" s="48"/>
      <c r="D50" s="50"/>
      <c r="E50" s="50"/>
      <c r="F50" s="50"/>
      <c r="G50" s="50"/>
      <c r="H50" s="50"/>
      <c r="I50" s="50"/>
      <c r="J50" s="50"/>
      <c r="K50" s="50"/>
      <c r="L50" s="50"/>
      <c r="M50" s="50"/>
      <c r="N50" s="50"/>
    </row>
    <row r="51" spans="2:14" ht="25.5" customHeight="1" x14ac:dyDescent="0.35">
      <c r="B51" s="11"/>
      <c r="C51" s="11"/>
      <c r="D51" s="13"/>
      <c r="E51" s="13"/>
      <c r="F51" s="13"/>
      <c r="G51" s="13"/>
      <c r="H51" s="13"/>
      <c r="I51" s="13"/>
      <c r="J51" s="13"/>
      <c r="K51" s="13"/>
      <c r="L51" s="13"/>
      <c r="M51" s="13"/>
      <c r="N51" s="13"/>
    </row>
  </sheetData>
  <mergeCells count="51">
    <mergeCell ref="B23:C31"/>
    <mergeCell ref="D27:N28"/>
    <mergeCell ref="D29:N29"/>
    <mergeCell ref="D49:N50"/>
    <mergeCell ref="B40:C40"/>
    <mergeCell ref="C42:N42"/>
    <mergeCell ref="C43:N43"/>
    <mergeCell ref="B49:C50"/>
    <mergeCell ref="B33:C35"/>
    <mergeCell ref="D33:N35"/>
    <mergeCell ref="B37:C38"/>
    <mergeCell ref="D37:N38"/>
    <mergeCell ref="B45:N45"/>
    <mergeCell ref="B47:C47"/>
    <mergeCell ref="D47:G47"/>
    <mergeCell ref="H47:I47"/>
    <mergeCell ref="J47:M47"/>
    <mergeCell ref="D30:N31"/>
    <mergeCell ref="H10:J10"/>
    <mergeCell ref="K10:L10"/>
    <mergeCell ref="M10:N10"/>
    <mergeCell ref="D23:N23"/>
    <mergeCell ref="D24:N25"/>
    <mergeCell ref="D26:N26"/>
    <mergeCell ref="D40:N41"/>
    <mergeCell ref="B12:C12"/>
    <mergeCell ref="I12:J12"/>
    <mergeCell ref="D21:F21"/>
    <mergeCell ref="M21:N21"/>
    <mergeCell ref="B19:N19"/>
    <mergeCell ref="K14:N15"/>
    <mergeCell ref="B16:C16"/>
    <mergeCell ref="D16:G16"/>
    <mergeCell ref="J16:N16"/>
    <mergeCell ref="D12:F12"/>
    <mergeCell ref="B7:N7"/>
    <mergeCell ref="C9:E9"/>
    <mergeCell ref="F9:G9"/>
    <mergeCell ref="K9:L9"/>
    <mergeCell ref="M9:N9"/>
    <mergeCell ref="H9:J9"/>
    <mergeCell ref="B2:D5"/>
    <mergeCell ref="E2:I5"/>
    <mergeCell ref="J2:K2"/>
    <mergeCell ref="L2:N2"/>
    <mergeCell ref="J3:K3"/>
    <mergeCell ref="L3:N3"/>
    <mergeCell ref="J4:K4"/>
    <mergeCell ref="L4:N4"/>
    <mergeCell ref="J5:K5"/>
    <mergeCell ref="L5:N5"/>
  </mergeCell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41" r:id="rId4" name="Drop Down 1">
              <controlPr locked="0" defaultSize="0" autoLine="0" autoPict="0">
                <anchor moveWithCells="1">
                  <from>
                    <xdr:col>7</xdr:col>
                    <xdr:colOff>0</xdr:colOff>
                    <xdr:row>8</xdr:row>
                    <xdr:rowOff>19050</xdr:rowOff>
                  </from>
                  <to>
                    <xdr:col>9</xdr:col>
                    <xdr:colOff>1028700</xdr:colOff>
                    <xdr:row>9</xdr:row>
                    <xdr:rowOff>31750</xdr:rowOff>
                  </to>
                </anchor>
              </controlPr>
            </control>
          </mc:Choice>
        </mc:AlternateContent>
        <mc:AlternateContent xmlns:mc="http://schemas.openxmlformats.org/markup-compatibility/2006">
          <mc:Choice Requires="x14">
            <control shapeId="10242" r:id="rId5" name="Drop Down 2">
              <controlPr defaultSize="0" autoLine="0" autoPict="0">
                <anchor moveWithCells="1">
                  <from>
                    <xdr:col>1</xdr:col>
                    <xdr:colOff>812800</xdr:colOff>
                    <xdr:row>7</xdr:row>
                    <xdr:rowOff>184150</xdr:rowOff>
                  </from>
                  <to>
                    <xdr:col>4</xdr:col>
                    <xdr:colOff>838200</xdr:colOff>
                    <xdr:row>9</xdr:row>
                    <xdr:rowOff>0</xdr:rowOff>
                  </to>
                </anchor>
              </controlPr>
            </control>
          </mc:Choice>
        </mc:AlternateContent>
        <mc:AlternateContent xmlns:mc="http://schemas.openxmlformats.org/markup-compatibility/2006">
          <mc:Choice Requires="x14">
            <control shapeId="10243" r:id="rId6" name="Drop Down 3">
              <controlPr defaultSize="0" autoLine="0" autoPict="0">
                <anchor moveWithCells="1">
                  <from>
                    <xdr:col>3</xdr:col>
                    <xdr:colOff>0</xdr:colOff>
                    <xdr:row>10</xdr:row>
                    <xdr:rowOff>171450</xdr:rowOff>
                  </from>
                  <to>
                    <xdr:col>7</xdr:col>
                    <xdr:colOff>0</xdr:colOff>
                    <xdr:row>12</xdr:row>
                    <xdr:rowOff>12700</xdr:rowOff>
                  </to>
                </anchor>
              </controlPr>
            </control>
          </mc:Choice>
        </mc:AlternateContent>
        <mc:AlternateContent xmlns:mc="http://schemas.openxmlformats.org/markup-compatibility/2006">
          <mc:Choice Requires="x14">
            <control shapeId="10244" r:id="rId7" name="Drop Down 4">
              <controlPr defaultSize="0" autoLine="0" autoPict="0">
                <anchor moveWithCells="1">
                  <from>
                    <xdr:col>3</xdr:col>
                    <xdr:colOff>19050</xdr:colOff>
                    <xdr:row>19</xdr:row>
                    <xdr:rowOff>165100</xdr:rowOff>
                  </from>
                  <to>
                    <xdr:col>5</xdr:col>
                    <xdr:colOff>742950</xdr:colOff>
                    <xdr:row>20</xdr:row>
                    <xdr:rowOff>171450</xdr:rowOff>
                  </to>
                </anchor>
              </controlPr>
            </control>
          </mc:Choice>
        </mc:AlternateContent>
        <mc:AlternateContent xmlns:mc="http://schemas.openxmlformats.org/markup-compatibility/2006">
          <mc:Choice Requires="x14">
            <control shapeId="10247" r:id="rId8" name="Drop Down 7">
              <controlPr defaultSize="0" autoLine="0" autoPict="0">
                <anchor moveWithCells="1">
                  <from>
                    <xdr:col>10</xdr:col>
                    <xdr:colOff>0</xdr:colOff>
                    <xdr:row>10</xdr:row>
                    <xdr:rowOff>190500</xdr:rowOff>
                  </from>
                  <to>
                    <xdr:col>14</xdr:col>
                    <xdr:colOff>31750</xdr:colOff>
                    <xdr:row>11</xdr:row>
                    <xdr:rowOff>184150</xdr:rowOff>
                  </to>
                </anchor>
              </controlPr>
            </control>
          </mc:Choice>
        </mc:AlternateContent>
        <mc:AlternateContent xmlns:mc="http://schemas.openxmlformats.org/markup-compatibility/2006">
          <mc:Choice Requires="x14">
            <control shapeId="10248" r:id="rId9" name="Check Box 8">
              <controlPr defaultSize="0" autoFill="0" autoLine="0" autoPict="0">
                <anchor moveWithCells="1">
                  <from>
                    <xdr:col>10</xdr:col>
                    <xdr:colOff>285750</xdr:colOff>
                    <xdr:row>13</xdr:row>
                    <xdr:rowOff>69850</xdr:rowOff>
                  </from>
                  <to>
                    <xdr:col>13</xdr:col>
                    <xdr:colOff>571500</xdr:colOff>
                    <xdr:row>14</xdr:row>
                    <xdr:rowOff>127000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7698CD-A096-4A15-8867-717DC9183CA7}">
  <dimension ref="B2:AR263"/>
  <sheetViews>
    <sheetView showGridLines="0" view="pageBreakPreview" zoomScale="80" zoomScaleNormal="80" zoomScaleSheetLayoutView="80" workbookViewId="0">
      <selection activeCell="O13" sqref="O13"/>
    </sheetView>
  </sheetViews>
  <sheetFormatPr defaultColWidth="11.453125" defaultRowHeight="14.5" x14ac:dyDescent="0.35"/>
  <cols>
    <col min="1" max="1" width="7.7265625" style="2" customWidth="1"/>
    <col min="2" max="2" width="12.26953125" style="2" customWidth="1"/>
    <col min="3" max="3" width="11.453125" style="2" customWidth="1"/>
    <col min="4" max="4" width="14.1796875" style="2" customWidth="1"/>
    <col min="5" max="5" width="12.7265625" style="2" customWidth="1"/>
    <col min="6" max="7" width="11.453125" style="2"/>
    <col min="8" max="8" width="12.81640625" style="2" customWidth="1"/>
    <col min="9" max="9" width="11.453125" style="2"/>
    <col min="10" max="10" width="15.7265625" style="2" customWidth="1"/>
    <col min="11" max="13" width="11.453125" style="2"/>
    <col min="14" max="14" width="12.26953125" style="2" customWidth="1"/>
    <col min="15" max="15" width="10.54296875" style="2" customWidth="1"/>
    <col min="16" max="44" width="11.453125" style="3"/>
    <col min="45" max="16384" width="11.453125" style="2"/>
  </cols>
  <sheetData>
    <row r="2" spans="2:14" x14ac:dyDescent="0.35">
      <c r="B2" s="64"/>
      <c r="C2" s="64"/>
      <c r="D2" s="64"/>
      <c r="E2" s="65" t="s">
        <v>8</v>
      </c>
      <c r="F2" s="65"/>
      <c r="G2" s="65"/>
      <c r="H2" s="65"/>
      <c r="I2" s="65"/>
      <c r="J2" s="66" t="s">
        <v>20</v>
      </c>
      <c r="K2" s="66"/>
      <c r="L2" s="67" t="s">
        <v>23</v>
      </c>
      <c r="M2" s="67"/>
      <c r="N2" s="67"/>
    </row>
    <row r="3" spans="2:14" x14ac:dyDescent="0.35">
      <c r="B3" s="64"/>
      <c r="C3" s="64"/>
      <c r="D3" s="64"/>
      <c r="E3" s="65"/>
      <c r="F3" s="65"/>
      <c r="G3" s="65"/>
      <c r="H3" s="65"/>
      <c r="I3" s="65"/>
      <c r="J3" s="66" t="s">
        <v>38</v>
      </c>
      <c r="K3" s="66"/>
      <c r="L3" s="67">
        <v>4</v>
      </c>
      <c r="M3" s="67"/>
      <c r="N3" s="67"/>
    </row>
    <row r="4" spans="2:14" x14ac:dyDescent="0.35">
      <c r="B4" s="64"/>
      <c r="C4" s="64"/>
      <c r="D4" s="64"/>
      <c r="E4" s="65"/>
      <c r="F4" s="65"/>
      <c r="G4" s="65"/>
      <c r="H4" s="65"/>
      <c r="I4" s="65"/>
      <c r="J4" s="66" t="s">
        <v>21</v>
      </c>
      <c r="K4" s="66"/>
      <c r="L4" s="67" t="s">
        <v>24</v>
      </c>
      <c r="M4" s="67"/>
      <c r="N4" s="67"/>
    </row>
    <row r="5" spans="2:14" x14ac:dyDescent="0.35">
      <c r="B5" s="64"/>
      <c r="C5" s="64"/>
      <c r="D5" s="64"/>
      <c r="E5" s="65"/>
      <c r="F5" s="65"/>
      <c r="G5" s="65"/>
      <c r="H5" s="65"/>
      <c r="I5" s="65"/>
      <c r="J5" s="66" t="s">
        <v>22</v>
      </c>
      <c r="K5" s="66"/>
      <c r="L5" s="67" t="s">
        <v>25</v>
      </c>
      <c r="M5" s="67"/>
      <c r="N5" s="67"/>
    </row>
    <row r="7" spans="2:14" x14ac:dyDescent="0.35">
      <c r="B7" s="45" t="s">
        <v>26</v>
      </c>
      <c r="C7" s="45"/>
      <c r="D7" s="45"/>
      <c r="E7" s="45"/>
      <c r="F7" s="45"/>
      <c r="G7" s="45"/>
      <c r="H7" s="45"/>
      <c r="I7" s="45"/>
      <c r="J7" s="45"/>
      <c r="K7" s="45"/>
      <c r="L7" s="45"/>
      <c r="M7" s="45"/>
      <c r="N7" s="45"/>
    </row>
    <row r="9" spans="2:14" ht="15" customHeight="1" x14ac:dyDescent="0.35">
      <c r="B9" s="4" t="s">
        <v>1</v>
      </c>
      <c r="C9" s="49"/>
      <c r="D9" s="49"/>
      <c r="E9" s="49"/>
      <c r="F9" s="46" t="s">
        <v>2</v>
      </c>
      <c r="G9" s="46"/>
      <c r="H9" s="5">
        <v>17</v>
      </c>
      <c r="K9" s="45" t="s">
        <v>4</v>
      </c>
      <c r="L9" s="45"/>
      <c r="M9" s="72">
        <v>44577</v>
      </c>
      <c r="N9" s="72"/>
    </row>
    <row r="10" spans="2:14" ht="17.25" customHeight="1" x14ac:dyDescent="0.35">
      <c r="B10" s="5"/>
      <c r="C10" s="5"/>
      <c r="D10" s="5"/>
      <c r="E10" s="5"/>
      <c r="F10" s="6"/>
      <c r="G10" s="6"/>
      <c r="H10" s="69"/>
      <c r="I10" s="69"/>
      <c r="J10" s="69"/>
      <c r="K10" s="45" t="s">
        <v>31</v>
      </c>
      <c r="L10" s="45"/>
      <c r="M10" s="73" t="s">
        <v>34</v>
      </c>
      <c r="N10" s="73"/>
    </row>
    <row r="11" spans="2:14" x14ac:dyDescent="0.35">
      <c r="B11" s="5"/>
      <c r="C11" s="5"/>
      <c r="D11" s="5"/>
      <c r="E11" s="5"/>
      <c r="H11" s="5" t="s">
        <v>139</v>
      </c>
    </row>
    <row r="12" spans="2:14" x14ac:dyDescent="0.35">
      <c r="B12" s="71" t="s">
        <v>27</v>
      </c>
      <c r="C12" s="71"/>
      <c r="D12" s="49"/>
      <c r="E12" s="49"/>
      <c r="F12" s="49"/>
      <c r="H12" s="5"/>
      <c r="I12" s="45" t="s">
        <v>30</v>
      </c>
      <c r="J12" s="45"/>
    </row>
    <row r="13" spans="2:14" x14ac:dyDescent="0.35">
      <c r="B13" s="5"/>
      <c r="C13" s="5"/>
      <c r="D13" s="5"/>
      <c r="E13" s="5"/>
      <c r="F13" s="5"/>
      <c r="G13" s="5"/>
      <c r="H13" s="5"/>
    </row>
    <row r="14" spans="2:14" x14ac:dyDescent="0.35">
      <c r="K14" s="50"/>
      <c r="L14" s="50"/>
      <c r="M14" s="50"/>
      <c r="N14" s="50"/>
    </row>
    <row r="15" spans="2:14" x14ac:dyDescent="0.35">
      <c r="B15" s="5"/>
      <c r="C15" s="5"/>
      <c r="D15" s="5"/>
      <c r="E15" s="5"/>
      <c r="F15" s="5"/>
      <c r="G15" s="5"/>
      <c r="H15" s="5"/>
      <c r="K15" s="50"/>
      <c r="L15" s="50"/>
      <c r="M15" s="50"/>
      <c r="N15" s="50"/>
    </row>
    <row r="16" spans="2:14" ht="15" thickBot="1" x14ac:dyDescent="0.4">
      <c r="B16" s="46" t="s">
        <v>5</v>
      </c>
      <c r="C16" s="46"/>
      <c r="D16" s="74" t="s">
        <v>69</v>
      </c>
      <c r="E16" s="74"/>
      <c r="F16" s="74"/>
      <c r="G16" s="74"/>
      <c r="H16" s="7" t="s">
        <v>39</v>
      </c>
      <c r="I16" s="7"/>
      <c r="J16" s="74" t="s">
        <v>89</v>
      </c>
      <c r="K16" s="74"/>
      <c r="L16" s="74"/>
      <c r="M16" s="74"/>
      <c r="N16" s="74"/>
    </row>
    <row r="19" spans="2:14" x14ac:dyDescent="0.35">
      <c r="B19" s="45" t="s">
        <v>40</v>
      </c>
      <c r="C19" s="45"/>
      <c r="D19" s="45"/>
      <c r="E19" s="45"/>
      <c r="F19" s="45"/>
      <c r="G19" s="45"/>
      <c r="H19" s="45"/>
      <c r="I19" s="45"/>
      <c r="J19" s="45"/>
      <c r="K19" s="45"/>
      <c r="L19" s="45"/>
      <c r="M19" s="45"/>
      <c r="N19" s="45"/>
    </row>
    <row r="21" spans="2:14" x14ac:dyDescent="0.35">
      <c r="B21" s="7" t="s">
        <v>10</v>
      </c>
      <c r="C21" s="7"/>
      <c r="D21" s="50"/>
      <c r="E21" s="50"/>
      <c r="F21" s="50"/>
      <c r="G21" s="8"/>
      <c r="H21" s="8"/>
      <c r="K21" s="7" t="s">
        <v>47</v>
      </c>
      <c r="L21" s="7"/>
      <c r="M21" s="73" t="s">
        <v>35</v>
      </c>
      <c r="N21" s="73"/>
    </row>
    <row r="23" spans="2:14" ht="15" customHeight="1" x14ac:dyDescent="0.35">
      <c r="B23" s="59" t="s">
        <v>41</v>
      </c>
      <c r="C23" s="59"/>
      <c r="D23" s="45" t="s">
        <v>46</v>
      </c>
      <c r="E23" s="45"/>
      <c r="F23" s="45"/>
      <c r="G23" s="45"/>
      <c r="H23" s="45"/>
      <c r="I23" s="45"/>
      <c r="J23" s="45"/>
      <c r="K23" s="45"/>
      <c r="L23" s="45"/>
      <c r="M23" s="45"/>
      <c r="N23" s="45"/>
    </row>
    <row r="24" spans="2:14" ht="123" customHeight="1" x14ac:dyDescent="0.35">
      <c r="B24" s="59"/>
      <c r="C24" s="59"/>
      <c r="D24" s="75" t="s">
        <v>70</v>
      </c>
      <c r="E24" s="75"/>
      <c r="F24" s="75"/>
      <c r="G24" s="75"/>
      <c r="H24" s="75"/>
      <c r="I24" s="75"/>
      <c r="J24" s="75"/>
      <c r="K24" s="75"/>
      <c r="L24" s="75"/>
      <c r="M24" s="75"/>
      <c r="N24" s="75"/>
    </row>
    <row r="25" spans="2:14" ht="15" customHeight="1" x14ac:dyDescent="0.35">
      <c r="B25" s="59"/>
      <c r="C25" s="59"/>
      <c r="D25" s="45" t="s">
        <v>65</v>
      </c>
      <c r="E25" s="45"/>
      <c r="F25" s="45"/>
      <c r="G25" s="45"/>
      <c r="H25" s="45"/>
      <c r="I25" s="45"/>
      <c r="J25" s="45"/>
      <c r="K25" s="45"/>
      <c r="L25" s="45"/>
      <c r="M25" s="45"/>
      <c r="N25" s="45"/>
    </row>
    <row r="26" spans="2:14" ht="363.75" customHeight="1" x14ac:dyDescent="0.35">
      <c r="B26" s="59"/>
      <c r="C26" s="59"/>
      <c r="D26" s="75" t="s">
        <v>71</v>
      </c>
      <c r="E26" s="75"/>
      <c r="F26" s="75"/>
      <c r="G26" s="75"/>
      <c r="H26" s="75"/>
      <c r="I26" s="75"/>
      <c r="J26" s="75"/>
      <c r="K26" s="75"/>
      <c r="L26" s="75"/>
      <c r="M26" s="75"/>
      <c r="N26" s="75"/>
    </row>
    <row r="27" spans="2:14" ht="15" customHeight="1" x14ac:dyDescent="0.35">
      <c r="B27" s="59"/>
      <c r="C27" s="59"/>
      <c r="D27" s="45" t="s">
        <v>45</v>
      </c>
      <c r="E27" s="45"/>
      <c r="F27" s="45"/>
      <c r="G27" s="45"/>
      <c r="H27" s="45"/>
      <c r="I27" s="45"/>
      <c r="J27" s="45"/>
      <c r="K27" s="45"/>
      <c r="L27" s="45"/>
      <c r="M27" s="45"/>
      <c r="N27" s="45"/>
    </row>
    <row r="28" spans="2:14" ht="33" customHeight="1" x14ac:dyDescent="0.35">
      <c r="B28" s="59"/>
      <c r="C28" s="59"/>
      <c r="D28" s="75" t="s">
        <v>72</v>
      </c>
      <c r="E28" s="75"/>
      <c r="F28" s="75"/>
      <c r="G28" s="75"/>
      <c r="H28" s="75"/>
      <c r="I28" s="75"/>
      <c r="J28" s="75"/>
      <c r="K28" s="75"/>
      <c r="L28" s="75"/>
      <c r="M28" s="75"/>
      <c r="N28" s="75"/>
    </row>
    <row r="29" spans="2:14" x14ac:dyDescent="0.35">
      <c r="D29" s="9"/>
      <c r="E29" s="9"/>
      <c r="F29" s="9"/>
      <c r="G29" s="9"/>
      <c r="H29" s="9"/>
      <c r="I29" s="9"/>
      <c r="J29" s="9"/>
      <c r="K29" s="9"/>
      <c r="L29" s="9"/>
      <c r="M29" s="9"/>
      <c r="N29" s="9"/>
    </row>
    <row r="30" spans="2:14" ht="168" customHeight="1" x14ac:dyDescent="0.35">
      <c r="B30" s="59" t="s">
        <v>14</v>
      </c>
      <c r="C30" s="59"/>
      <c r="D30" s="75" t="s">
        <v>68</v>
      </c>
      <c r="E30" s="75"/>
      <c r="F30" s="75"/>
      <c r="G30" s="75"/>
      <c r="H30" s="75"/>
      <c r="I30" s="75"/>
      <c r="J30" s="75"/>
      <c r="K30" s="75"/>
      <c r="L30" s="75"/>
      <c r="M30" s="75"/>
      <c r="N30" s="75"/>
    </row>
    <row r="31" spans="2:14" x14ac:dyDescent="0.35">
      <c r="B31" s="5"/>
      <c r="C31" s="10"/>
      <c r="D31" s="9"/>
      <c r="E31" s="9"/>
      <c r="F31" s="9"/>
      <c r="G31" s="9"/>
      <c r="H31" s="9"/>
      <c r="I31" s="9"/>
      <c r="J31" s="9"/>
      <c r="K31" s="9"/>
      <c r="L31" s="9"/>
      <c r="M31" s="9"/>
      <c r="N31" s="9"/>
    </row>
    <row r="32" spans="2:14" ht="15" customHeight="1" x14ac:dyDescent="0.35">
      <c r="B32" s="59" t="s">
        <v>15</v>
      </c>
      <c r="C32" s="59"/>
      <c r="D32" s="76" t="s">
        <v>42</v>
      </c>
      <c r="E32" s="77"/>
      <c r="F32" s="77"/>
      <c r="G32" s="77"/>
      <c r="H32" s="77"/>
      <c r="I32" s="77"/>
      <c r="J32" s="77"/>
      <c r="K32" s="77"/>
      <c r="L32" s="77"/>
      <c r="M32" s="77"/>
      <c r="N32" s="77"/>
    </row>
    <row r="33" spans="2:14" x14ac:dyDescent="0.35">
      <c r="B33" s="59"/>
      <c r="C33" s="59"/>
      <c r="D33" s="77"/>
      <c r="E33" s="77"/>
      <c r="F33" s="77"/>
      <c r="G33" s="77"/>
      <c r="H33" s="77"/>
      <c r="I33" s="77"/>
      <c r="J33" s="77"/>
      <c r="K33" s="77"/>
      <c r="L33" s="77"/>
      <c r="M33" s="77"/>
      <c r="N33" s="77"/>
    </row>
    <row r="34" spans="2:14" ht="15.75" customHeight="1" x14ac:dyDescent="0.35"/>
    <row r="35" spans="2:14" x14ac:dyDescent="0.35">
      <c r="B35" s="45" t="s">
        <v>61</v>
      </c>
      <c r="C35" s="45"/>
      <c r="D35" s="79" t="str">
        <f>IF($H$9=1,Utileria!$L$15,IF($H$9=2,Utileria!$L$15,IF($H$9=3,Utileria!$L$15,IF($H$9=7,Utileria!L$15,IF($H$9=8,Utileria!$L$15,IF($H$9=16,Utileria!$L$15,IF($H$9=17,Utileria!$L$15,IF($H$9=19,Utileria!$L$15,IF($H$9=24,Utileria!$L$15,IF($H$9=25,Utileria!$L$15,""))))))))))</f>
        <v>¡ATENCIÓN! Para que tu solicitud sea atendida es necesario adjuntar los insumos que a continuación se muestran, en caso de no hacerlo, se puede incurrir en retrasos.</v>
      </c>
      <c r="E35" s="79"/>
      <c r="F35" s="79"/>
      <c r="G35" s="79"/>
      <c r="H35" s="79"/>
      <c r="I35" s="79"/>
      <c r="J35" s="79"/>
      <c r="K35" s="79"/>
      <c r="L35" s="79"/>
      <c r="M35" s="79"/>
      <c r="N35" s="79"/>
    </row>
    <row r="36" spans="2:14" ht="15" customHeight="1" x14ac:dyDescent="0.35">
      <c r="D36" s="79"/>
      <c r="E36" s="79"/>
      <c r="F36" s="79"/>
      <c r="G36" s="79"/>
      <c r="H36" s="79"/>
      <c r="I36" s="79"/>
      <c r="J36" s="79"/>
      <c r="K36" s="79"/>
      <c r="L36" s="79"/>
      <c r="M36" s="79"/>
      <c r="N36" s="79"/>
    </row>
    <row r="37" spans="2:14" ht="15" customHeight="1" x14ac:dyDescent="0.35">
      <c r="B37" s="12">
        <f>IF(C37="","", 1)</f>
        <v>1</v>
      </c>
      <c r="C37" s="57" t="str">
        <f>IF($H$9=1,Utileria!$L$9,IF($H$9=2,Utileria!$L$12,IF($H$9=3,Utileria!$L$11,IF($H$9=7,Utileria!L$6,IF($H$9=8,Utileria!$L$6,IF($H$9=16,Utileria!$L$5,IF($H$9=17,Utileria!$L$4,IF($H$9=19,Utileria!$L$4,IF($H$9=24,Utileria!$L$4,IF($H$9=25,Utileria!$L$4,"N/A"))))))))))</f>
        <v>Ordenes con data de ONIX</v>
      </c>
      <c r="D37" s="57"/>
      <c r="E37" s="57"/>
      <c r="F37" s="57"/>
      <c r="G37" s="57"/>
      <c r="H37" s="57"/>
      <c r="I37" s="57"/>
      <c r="J37" s="57"/>
      <c r="K37" s="57"/>
      <c r="L37" s="57"/>
      <c r="M37" s="57"/>
      <c r="N37" s="57"/>
    </row>
    <row r="38" spans="2:14" ht="15" customHeight="1" x14ac:dyDescent="0.35">
      <c r="B38" s="12" t="str">
        <f>IF(C38="","", 2)</f>
        <v/>
      </c>
      <c r="C38" s="57" t="str">
        <f>IF($H$9=1,Utileria!$L$10,IF($H$9=7,Utileria!$L$8,IF($H$9=8,Utileria!$L$7,IF($H$9=2,Utileria!$L$13,""))))</f>
        <v/>
      </c>
      <c r="D38" s="57"/>
      <c r="E38" s="57"/>
      <c r="F38" s="57"/>
      <c r="G38" s="57"/>
      <c r="H38" s="57"/>
      <c r="I38" s="57"/>
      <c r="J38" s="57"/>
      <c r="K38" s="57"/>
      <c r="L38" s="57"/>
      <c r="M38" s="57"/>
      <c r="N38" s="57"/>
    </row>
    <row r="39" spans="2:14" ht="15" customHeight="1" x14ac:dyDescent="0.35"/>
    <row r="40" spans="2:14" x14ac:dyDescent="0.35">
      <c r="B40" s="45" t="s">
        <v>43</v>
      </c>
      <c r="C40" s="45"/>
      <c r="D40" s="45"/>
      <c r="E40" s="45"/>
      <c r="F40" s="45"/>
      <c r="G40" s="45"/>
      <c r="H40" s="45"/>
      <c r="I40" s="45"/>
      <c r="J40" s="45"/>
      <c r="K40" s="45"/>
      <c r="L40" s="45"/>
      <c r="M40" s="45"/>
      <c r="N40" s="45"/>
    </row>
    <row r="41" spans="2:14" ht="15" customHeight="1" x14ac:dyDescent="0.35"/>
    <row r="42" spans="2:14" ht="15" customHeight="1" thickBot="1" x14ac:dyDescent="0.4">
      <c r="B42" s="46" t="s">
        <v>0</v>
      </c>
      <c r="C42" s="46"/>
      <c r="D42" s="74" t="s">
        <v>36</v>
      </c>
      <c r="E42" s="74"/>
      <c r="F42" s="74"/>
      <c r="G42" s="74"/>
      <c r="H42" s="45" t="s">
        <v>19</v>
      </c>
      <c r="I42" s="45"/>
      <c r="J42" s="74" t="s">
        <v>66</v>
      </c>
      <c r="K42" s="74"/>
      <c r="L42" s="74"/>
      <c r="M42" s="74"/>
    </row>
    <row r="43" spans="2:14" ht="15" customHeight="1" x14ac:dyDescent="0.35"/>
    <row r="44" spans="2:14" ht="15" customHeight="1" x14ac:dyDescent="0.35">
      <c r="B44" s="45" t="s">
        <v>37</v>
      </c>
      <c r="C44" s="45"/>
      <c r="D44" s="78" t="s">
        <v>44</v>
      </c>
      <c r="E44" s="78"/>
      <c r="F44" s="78"/>
      <c r="G44" s="78"/>
      <c r="H44" s="78"/>
      <c r="I44" s="78"/>
      <c r="J44" s="78"/>
      <c r="K44" s="78"/>
      <c r="L44" s="78"/>
      <c r="M44" s="78"/>
      <c r="N44" s="78"/>
    </row>
    <row r="45" spans="2:14" ht="27" customHeight="1" x14ac:dyDescent="0.35">
      <c r="B45" s="11"/>
      <c r="C45" s="11"/>
      <c r="D45" s="14"/>
      <c r="E45" s="14"/>
      <c r="F45" s="14"/>
      <c r="G45" s="14"/>
      <c r="H45" s="14"/>
      <c r="I45" s="14"/>
      <c r="J45" s="14"/>
      <c r="K45" s="14"/>
      <c r="L45" s="14"/>
      <c r="M45" s="14"/>
      <c r="N45" s="14"/>
    </row>
    <row r="46" spans="2:14" s="3" customFormat="1" ht="15" customHeight="1" x14ac:dyDescent="0.35"/>
    <row r="47" spans="2:14" s="3" customFormat="1" ht="15" customHeight="1" x14ac:dyDescent="0.35"/>
    <row r="48" spans="2:14" s="3" customFormat="1" ht="15" customHeight="1" x14ac:dyDescent="0.35"/>
    <row r="49" s="3" customFormat="1" x14ac:dyDescent="0.35"/>
    <row r="50" s="3" customFormat="1" x14ac:dyDescent="0.35"/>
    <row r="51" s="3" customFormat="1" x14ac:dyDescent="0.35"/>
    <row r="52" s="3" customFormat="1" x14ac:dyDescent="0.35"/>
    <row r="53" s="3" customFormat="1" x14ac:dyDescent="0.35"/>
    <row r="54" s="3" customFormat="1" x14ac:dyDescent="0.35"/>
    <row r="55" s="3" customFormat="1" x14ac:dyDescent="0.35"/>
    <row r="56" s="3" customFormat="1" x14ac:dyDescent="0.35"/>
    <row r="57" s="3" customFormat="1" x14ac:dyDescent="0.35"/>
    <row r="58" s="3" customFormat="1" x14ac:dyDescent="0.35"/>
    <row r="59" s="3" customFormat="1" x14ac:dyDescent="0.35"/>
    <row r="60" s="3" customFormat="1" x14ac:dyDescent="0.35"/>
    <row r="61" s="3" customFormat="1" x14ac:dyDescent="0.35"/>
    <row r="62" s="3" customFormat="1" x14ac:dyDescent="0.35"/>
    <row r="63" s="3" customFormat="1" x14ac:dyDescent="0.35"/>
    <row r="64" s="3" customFormat="1" x14ac:dyDescent="0.35"/>
    <row r="65" s="3" customFormat="1" x14ac:dyDescent="0.35"/>
    <row r="66" s="3" customFormat="1" x14ac:dyDescent="0.35"/>
    <row r="67" s="3" customFormat="1" x14ac:dyDescent="0.35"/>
    <row r="68" s="3" customFormat="1" x14ac:dyDescent="0.35"/>
    <row r="69" s="3" customFormat="1" x14ac:dyDescent="0.35"/>
    <row r="70" s="3" customFormat="1" x14ac:dyDescent="0.35"/>
    <row r="71" s="3" customFormat="1" x14ac:dyDescent="0.35"/>
    <row r="72" s="3" customFormat="1" x14ac:dyDescent="0.35"/>
    <row r="73" s="3" customFormat="1" x14ac:dyDescent="0.35"/>
    <row r="74" s="3" customFormat="1" x14ac:dyDescent="0.35"/>
    <row r="75" s="3" customFormat="1" x14ac:dyDescent="0.35"/>
    <row r="76" s="3" customFormat="1" x14ac:dyDescent="0.35"/>
    <row r="77" s="3" customFormat="1" x14ac:dyDescent="0.35"/>
    <row r="78" s="3" customFormat="1" x14ac:dyDescent="0.35"/>
    <row r="79" s="3" customFormat="1" x14ac:dyDescent="0.35"/>
    <row r="80" s="3" customFormat="1" x14ac:dyDescent="0.35"/>
    <row r="81" s="3" customFormat="1" x14ac:dyDescent="0.35"/>
    <row r="82" s="3" customFormat="1" x14ac:dyDescent="0.35"/>
    <row r="83" s="3" customFormat="1" x14ac:dyDescent="0.35"/>
    <row r="84" s="3" customFormat="1" x14ac:dyDescent="0.35"/>
    <row r="85" s="3" customFormat="1" x14ac:dyDescent="0.35"/>
    <row r="86" s="3" customFormat="1" x14ac:dyDescent="0.35"/>
    <row r="87" s="3" customFormat="1" x14ac:dyDescent="0.35"/>
    <row r="88" s="3" customFormat="1" x14ac:dyDescent="0.35"/>
    <row r="89" s="3" customFormat="1" x14ac:dyDescent="0.35"/>
    <row r="90" s="3" customFormat="1" x14ac:dyDescent="0.35"/>
    <row r="91" s="3" customFormat="1" x14ac:dyDescent="0.35"/>
    <row r="92" s="3" customFormat="1" x14ac:dyDescent="0.35"/>
    <row r="93" s="3" customFormat="1" x14ac:dyDescent="0.35"/>
    <row r="94" s="3" customFormat="1" x14ac:dyDescent="0.35"/>
    <row r="95" s="3" customFormat="1" x14ac:dyDescent="0.35"/>
    <row r="96" s="3" customFormat="1" x14ac:dyDescent="0.35"/>
    <row r="97" s="3" customFormat="1" x14ac:dyDescent="0.35"/>
    <row r="98" s="3" customFormat="1" x14ac:dyDescent="0.35"/>
    <row r="99" s="3" customFormat="1" x14ac:dyDescent="0.35"/>
    <row r="100" s="3" customFormat="1" x14ac:dyDescent="0.35"/>
    <row r="101" s="3" customFormat="1" x14ac:dyDescent="0.35"/>
    <row r="102" s="3" customFormat="1" x14ac:dyDescent="0.35"/>
    <row r="103" s="3" customFormat="1" x14ac:dyDescent="0.35"/>
    <row r="104" s="3" customFormat="1" x14ac:dyDescent="0.35"/>
    <row r="105" s="3" customFormat="1" x14ac:dyDescent="0.35"/>
    <row r="106" s="3" customFormat="1" x14ac:dyDescent="0.35"/>
    <row r="107" s="3" customFormat="1" x14ac:dyDescent="0.35"/>
    <row r="108" s="3" customFormat="1" x14ac:dyDescent="0.35"/>
    <row r="109" s="3" customFormat="1" x14ac:dyDescent="0.35"/>
    <row r="110" s="3" customFormat="1" x14ac:dyDescent="0.35"/>
    <row r="111" s="3" customFormat="1" x14ac:dyDescent="0.35"/>
    <row r="112" s="3" customFormat="1" x14ac:dyDescent="0.35"/>
    <row r="113" s="3" customFormat="1" x14ac:dyDescent="0.35"/>
    <row r="114" s="3" customFormat="1" x14ac:dyDescent="0.35"/>
    <row r="115" s="3" customFormat="1" x14ac:dyDescent="0.35"/>
    <row r="116" s="3" customFormat="1" x14ac:dyDescent="0.35"/>
    <row r="117" s="3" customFormat="1" x14ac:dyDescent="0.35"/>
    <row r="118" s="3" customFormat="1" x14ac:dyDescent="0.35"/>
    <row r="119" s="3" customFormat="1" x14ac:dyDescent="0.35"/>
    <row r="120" s="3" customFormat="1" x14ac:dyDescent="0.35"/>
    <row r="121" s="3" customFormat="1" x14ac:dyDescent="0.35"/>
    <row r="122" s="3" customFormat="1" x14ac:dyDescent="0.35"/>
    <row r="123" s="3" customFormat="1" x14ac:dyDescent="0.35"/>
    <row r="124" s="3" customFormat="1" x14ac:dyDescent="0.35"/>
    <row r="125" s="3" customFormat="1" x14ac:dyDescent="0.35"/>
    <row r="126" s="3" customFormat="1" x14ac:dyDescent="0.35"/>
    <row r="127" s="3" customFormat="1" x14ac:dyDescent="0.35"/>
    <row r="128" s="3" customFormat="1" x14ac:dyDescent="0.35"/>
    <row r="129" s="3" customFormat="1" x14ac:dyDescent="0.35"/>
    <row r="130" s="3" customFormat="1" x14ac:dyDescent="0.35"/>
    <row r="131" s="3" customFormat="1" x14ac:dyDescent="0.35"/>
    <row r="132" s="3" customFormat="1" x14ac:dyDescent="0.35"/>
    <row r="133" s="3" customFormat="1" x14ac:dyDescent="0.35"/>
    <row r="134" s="3" customFormat="1" x14ac:dyDescent="0.35"/>
    <row r="135" s="3" customFormat="1" x14ac:dyDescent="0.35"/>
    <row r="136" s="3" customFormat="1" x14ac:dyDescent="0.35"/>
    <row r="137" s="3" customFormat="1" x14ac:dyDescent="0.35"/>
    <row r="138" s="3" customFormat="1" x14ac:dyDescent="0.35"/>
    <row r="139" s="3" customFormat="1" x14ac:dyDescent="0.35"/>
    <row r="140" s="3" customFormat="1" x14ac:dyDescent="0.35"/>
    <row r="141" s="3" customFormat="1" x14ac:dyDescent="0.35"/>
    <row r="142" s="3" customFormat="1" x14ac:dyDescent="0.35"/>
    <row r="143" s="3" customFormat="1" x14ac:dyDescent="0.35"/>
    <row r="144" s="3" customFormat="1" x14ac:dyDescent="0.35"/>
    <row r="145" s="3" customFormat="1" x14ac:dyDescent="0.35"/>
    <row r="146" s="3" customFormat="1" x14ac:dyDescent="0.35"/>
    <row r="147" s="3" customFormat="1" x14ac:dyDescent="0.35"/>
    <row r="148" s="3" customFormat="1" x14ac:dyDescent="0.35"/>
    <row r="149" s="3" customFormat="1" x14ac:dyDescent="0.35"/>
    <row r="150" s="3" customFormat="1" x14ac:dyDescent="0.35"/>
    <row r="151" s="3" customFormat="1" x14ac:dyDescent="0.35"/>
    <row r="152" s="3" customFormat="1" x14ac:dyDescent="0.35"/>
    <row r="153" s="3" customFormat="1" x14ac:dyDescent="0.35"/>
    <row r="154" s="3" customFormat="1" x14ac:dyDescent="0.35"/>
    <row r="155" s="3" customFormat="1" x14ac:dyDescent="0.35"/>
    <row r="156" s="3" customFormat="1" x14ac:dyDescent="0.35"/>
    <row r="157" s="3" customFormat="1" x14ac:dyDescent="0.35"/>
    <row r="158" s="3" customFormat="1" x14ac:dyDescent="0.35"/>
    <row r="159" s="3" customFormat="1" x14ac:dyDescent="0.35"/>
    <row r="160" s="3" customFormat="1" x14ac:dyDescent="0.35"/>
    <row r="161" s="3" customFormat="1" x14ac:dyDescent="0.35"/>
    <row r="162" s="3" customFormat="1" x14ac:dyDescent="0.35"/>
    <row r="163" s="3" customFormat="1" x14ac:dyDescent="0.35"/>
    <row r="164" s="3" customFormat="1" x14ac:dyDescent="0.35"/>
    <row r="165" s="3" customFormat="1" x14ac:dyDescent="0.35"/>
    <row r="166" s="3" customFormat="1" x14ac:dyDescent="0.35"/>
    <row r="167" s="3" customFormat="1" x14ac:dyDescent="0.35"/>
    <row r="168" s="3" customFormat="1" x14ac:dyDescent="0.35"/>
    <row r="169" s="3" customFormat="1" x14ac:dyDescent="0.35"/>
    <row r="170" s="3" customFormat="1" x14ac:dyDescent="0.35"/>
    <row r="171" s="3" customFormat="1" x14ac:dyDescent="0.35"/>
    <row r="172" s="3" customFormat="1" x14ac:dyDescent="0.35"/>
    <row r="173" s="3" customFormat="1" x14ac:dyDescent="0.35"/>
    <row r="174" s="3" customFormat="1" x14ac:dyDescent="0.35"/>
    <row r="175" s="3" customFormat="1" x14ac:dyDescent="0.35"/>
    <row r="176" s="3" customFormat="1" x14ac:dyDescent="0.35"/>
    <row r="177" s="3" customFormat="1" x14ac:dyDescent="0.35"/>
    <row r="178" s="3" customFormat="1" x14ac:dyDescent="0.35"/>
    <row r="179" s="3" customFormat="1" x14ac:dyDescent="0.35"/>
    <row r="180" s="3" customFormat="1" x14ac:dyDescent="0.35"/>
    <row r="181" s="3" customFormat="1" x14ac:dyDescent="0.35"/>
    <row r="182" s="3" customFormat="1" x14ac:dyDescent="0.35"/>
    <row r="183" s="3" customFormat="1" x14ac:dyDescent="0.35"/>
    <row r="184" s="3" customFormat="1" x14ac:dyDescent="0.35"/>
    <row r="185" s="3" customFormat="1" x14ac:dyDescent="0.35"/>
    <row r="186" s="3" customFormat="1" x14ac:dyDescent="0.35"/>
    <row r="187" s="3" customFormat="1" x14ac:dyDescent="0.35"/>
    <row r="188" s="3" customFormat="1" x14ac:dyDescent="0.35"/>
    <row r="189" s="3" customFormat="1" x14ac:dyDescent="0.35"/>
    <row r="190" s="3" customFormat="1" x14ac:dyDescent="0.35"/>
    <row r="191" s="3" customFormat="1" x14ac:dyDescent="0.35"/>
    <row r="192" s="3" customFormat="1" x14ac:dyDescent="0.35"/>
    <row r="193" s="3" customFormat="1" x14ac:dyDescent="0.35"/>
    <row r="194" s="3" customFormat="1" x14ac:dyDescent="0.35"/>
    <row r="195" s="3" customFormat="1" x14ac:dyDescent="0.35"/>
    <row r="196" s="3" customFormat="1" x14ac:dyDescent="0.35"/>
    <row r="197" s="3" customFormat="1" x14ac:dyDescent="0.35"/>
    <row r="198" s="3" customFormat="1" x14ac:dyDescent="0.35"/>
    <row r="199" s="3" customFormat="1" x14ac:dyDescent="0.35"/>
    <row r="200" s="3" customFormat="1" x14ac:dyDescent="0.35"/>
    <row r="201" s="3" customFormat="1" x14ac:dyDescent="0.35"/>
    <row r="202" s="3" customFormat="1" x14ac:dyDescent="0.35"/>
    <row r="203" s="3" customFormat="1" x14ac:dyDescent="0.35"/>
    <row r="204" s="3" customFormat="1" x14ac:dyDescent="0.35"/>
    <row r="205" s="3" customFormat="1" x14ac:dyDescent="0.35"/>
    <row r="206" s="3" customFormat="1" x14ac:dyDescent="0.35"/>
    <row r="207" s="3" customFormat="1" x14ac:dyDescent="0.35"/>
    <row r="208" s="3" customFormat="1" x14ac:dyDescent="0.35"/>
    <row r="209" s="3" customFormat="1" x14ac:dyDescent="0.35"/>
    <row r="210" s="3" customFormat="1" x14ac:dyDescent="0.35"/>
    <row r="211" s="3" customFormat="1" x14ac:dyDescent="0.35"/>
    <row r="212" s="3" customFormat="1" x14ac:dyDescent="0.35"/>
    <row r="213" s="3" customFormat="1" x14ac:dyDescent="0.35"/>
    <row r="214" s="3" customFormat="1" x14ac:dyDescent="0.35"/>
    <row r="215" s="3" customFormat="1" x14ac:dyDescent="0.35"/>
    <row r="216" s="3" customFormat="1" x14ac:dyDescent="0.35"/>
    <row r="217" s="3" customFormat="1" x14ac:dyDescent="0.35"/>
    <row r="218" s="3" customFormat="1" x14ac:dyDescent="0.35"/>
    <row r="219" s="3" customFormat="1" x14ac:dyDescent="0.35"/>
    <row r="220" s="3" customFormat="1" x14ac:dyDescent="0.35"/>
    <row r="221" s="3" customFormat="1" x14ac:dyDescent="0.35"/>
    <row r="222" s="3" customFormat="1" x14ac:dyDescent="0.35"/>
    <row r="223" s="3" customFormat="1" x14ac:dyDescent="0.35"/>
    <row r="224" s="3" customFormat="1" x14ac:dyDescent="0.35"/>
    <row r="225" s="3" customFormat="1" x14ac:dyDescent="0.35"/>
    <row r="226" s="3" customFormat="1" x14ac:dyDescent="0.35"/>
    <row r="227" s="3" customFormat="1" x14ac:dyDescent="0.35"/>
    <row r="228" s="3" customFormat="1" x14ac:dyDescent="0.35"/>
    <row r="229" s="3" customFormat="1" x14ac:dyDescent="0.35"/>
    <row r="230" s="3" customFormat="1" x14ac:dyDescent="0.35"/>
    <row r="231" s="3" customFormat="1" x14ac:dyDescent="0.35"/>
    <row r="232" s="3" customFormat="1" x14ac:dyDescent="0.35"/>
    <row r="233" s="3" customFormat="1" x14ac:dyDescent="0.35"/>
    <row r="234" s="3" customFormat="1" x14ac:dyDescent="0.35"/>
    <row r="235" s="3" customFormat="1" x14ac:dyDescent="0.35"/>
    <row r="236" s="3" customFormat="1" x14ac:dyDescent="0.35"/>
    <row r="237" s="3" customFormat="1" x14ac:dyDescent="0.35"/>
    <row r="238" s="3" customFormat="1" x14ac:dyDescent="0.35"/>
    <row r="239" s="3" customFormat="1" x14ac:dyDescent="0.35"/>
    <row r="240" s="3" customFormat="1" x14ac:dyDescent="0.35"/>
    <row r="241" s="3" customFormat="1" x14ac:dyDescent="0.35"/>
    <row r="242" s="3" customFormat="1" x14ac:dyDescent="0.35"/>
    <row r="243" s="3" customFormat="1" x14ac:dyDescent="0.35"/>
    <row r="244" s="3" customFormat="1" x14ac:dyDescent="0.35"/>
    <row r="245" s="3" customFormat="1" x14ac:dyDescent="0.35"/>
    <row r="246" s="3" customFormat="1" x14ac:dyDescent="0.35"/>
    <row r="247" s="3" customFormat="1" x14ac:dyDescent="0.35"/>
    <row r="248" s="3" customFormat="1" x14ac:dyDescent="0.35"/>
    <row r="249" s="3" customFormat="1" x14ac:dyDescent="0.35"/>
    <row r="250" s="3" customFormat="1" x14ac:dyDescent="0.35"/>
    <row r="251" s="3" customFormat="1" x14ac:dyDescent="0.35"/>
    <row r="252" s="3" customFormat="1" x14ac:dyDescent="0.35"/>
    <row r="253" s="3" customFormat="1" x14ac:dyDescent="0.35"/>
    <row r="254" s="3" customFormat="1" x14ac:dyDescent="0.35"/>
    <row r="255" s="3" customFormat="1" x14ac:dyDescent="0.35"/>
    <row r="256" s="3" customFormat="1" x14ac:dyDescent="0.35"/>
    <row r="257" s="3" customFormat="1" x14ac:dyDescent="0.35"/>
    <row r="258" s="3" customFormat="1" x14ac:dyDescent="0.35"/>
    <row r="259" s="3" customFormat="1" x14ac:dyDescent="0.35"/>
    <row r="260" s="3" customFormat="1" x14ac:dyDescent="0.35"/>
    <row r="261" s="3" customFormat="1" x14ac:dyDescent="0.35"/>
    <row r="262" s="3" customFormat="1" x14ac:dyDescent="0.35"/>
    <row r="263" s="3" customFormat="1" x14ac:dyDescent="0.35"/>
  </sheetData>
  <mergeCells count="50">
    <mergeCell ref="B44:C44"/>
    <mergeCell ref="D44:N44"/>
    <mergeCell ref="B35:C35"/>
    <mergeCell ref="C37:N37"/>
    <mergeCell ref="C38:N38"/>
    <mergeCell ref="B42:C42"/>
    <mergeCell ref="D42:G42"/>
    <mergeCell ref="H42:I42"/>
    <mergeCell ref="J42:M42"/>
    <mergeCell ref="D35:N36"/>
    <mergeCell ref="B23:C28"/>
    <mergeCell ref="D23:N23"/>
    <mergeCell ref="D24:N24"/>
    <mergeCell ref="D25:N25"/>
    <mergeCell ref="D26:N26"/>
    <mergeCell ref="D27:N27"/>
    <mergeCell ref="D28:N28"/>
    <mergeCell ref="B30:C30"/>
    <mergeCell ref="D30:N30"/>
    <mergeCell ref="B32:C33"/>
    <mergeCell ref="D32:N33"/>
    <mergeCell ref="B40:N40"/>
    <mergeCell ref="D21:F21"/>
    <mergeCell ref="M21:N21"/>
    <mergeCell ref="K14:N15"/>
    <mergeCell ref="B16:C16"/>
    <mergeCell ref="D16:G16"/>
    <mergeCell ref="J16:N16"/>
    <mergeCell ref="B19:N19"/>
    <mergeCell ref="B12:C12"/>
    <mergeCell ref="D12:F12"/>
    <mergeCell ref="I12:J12"/>
    <mergeCell ref="B7:N7"/>
    <mergeCell ref="C9:E9"/>
    <mergeCell ref="F9:G9"/>
    <mergeCell ref="K9:L9"/>
    <mergeCell ref="M9:N9"/>
    <mergeCell ref="H10:J10"/>
    <mergeCell ref="K10:L10"/>
    <mergeCell ref="M10:N10"/>
    <mergeCell ref="B2:D5"/>
    <mergeCell ref="E2:I5"/>
    <mergeCell ref="J2:K2"/>
    <mergeCell ref="L2:N2"/>
    <mergeCell ref="J3:K3"/>
    <mergeCell ref="L3:N3"/>
    <mergeCell ref="J4:K4"/>
    <mergeCell ref="L4:N4"/>
    <mergeCell ref="J5:K5"/>
    <mergeCell ref="L5:N5"/>
  </mergeCell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1265" r:id="rId4" name="Drop Down 1">
              <controlPr locked="0" defaultSize="0" autoLine="0" autoPict="0">
                <anchor moveWithCells="1">
                  <from>
                    <xdr:col>7</xdr:col>
                    <xdr:colOff>0</xdr:colOff>
                    <xdr:row>8</xdr:row>
                    <xdr:rowOff>19050</xdr:rowOff>
                  </from>
                  <to>
                    <xdr:col>9</xdr:col>
                    <xdr:colOff>1028700</xdr:colOff>
                    <xdr:row>9</xdr:row>
                    <xdr:rowOff>31750</xdr:rowOff>
                  </to>
                </anchor>
              </controlPr>
            </control>
          </mc:Choice>
        </mc:AlternateContent>
        <mc:AlternateContent xmlns:mc="http://schemas.openxmlformats.org/markup-compatibility/2006">
          <mc:Choice Requires="x14">
            <control shapeId="11266" r:id="rId5" name="Drop Down 2">
              <controlPr defaultSize="0" autoLine="0" autoPict="0">
                <anchor moveWithCells="1">
                  <from>
                    <xdr:col>1</xdr:col>
                    <xdr:colOff>812800</xdr:colOff>
                    <xdr:row>7</xdr:row>
                    <xdr:rowOff>184150</xdr:rowOff>
                  </from>
                  <to>
                    <xdr:col>4</xdr:col>
                    <xdr:colOff>838200</xdr:colOff>
                    <xdr:row>9</xdr:row>
                    <xdr:rowOff>0</xdr:rowOff>
                  </to>
                </anchor>
              </controlPr>
            </control>
          </mc:Choice>
        </mc:AlternateContent>
        <mc:AlternateContent xmlns:mc="http://schemas.openxmlformats.org/markup-compatibility/2006">
          <mc:Choice Requires="x14">
            <control shapeId="11267" r:id="rId6" name="Drop Down 3">
              <controlPr defaultSize="0" autoLine="0" autoPict="0">
                <anchor moveWithCells="1">
                  <from>
                    <xdr:col>3</xdr:col>
                    <xdr:colOff>0</xdr:colOff>
                    <xdr:row>10</xdr:row>
                    <xdr:rowOff>171450</xdr:rowOff>
                  </from>
                  <to>
                    <xdr:col>7</xdr:col>
                    <xdr:colOff>0</xdr:colOff>
                    <xdr:row>12</xdr:row>
                    <xdr:rowOff>12700</xdr:rowOff>
                  </to>
                </anchor>
              </controlPr>
            </control>
          </mc:Choice>
        </mc:AlternateContent>
        <mc:AlternateContent xmlns:mc="http://schemas.openxmlformats.org/markup-compatibility/2006">
          <mc:Choice Requires="x14">
            <control shapeId="11268" r:id="rId7" name="Drop Down 4">
              <controlPr defaultSize="0" autoLine="0" autoPict="0">
                <anchor moveWithCells="1">
                  <from>
                    <xdr:col>3</xdr:col>
                    <xdr:colOff>19050</xdr:colOff>
                    <xdr:row>19</xdr:row>
                    <xdr:rowOff>165100</xdr:rowOff>
                  </from>
                  <to>
                    <xdr:col>5</xdr:col>
                    <xdr:colOff>742950</xdr:colOff>
                    <xdr:row>20</xdr:row>
                    <xdr:rowOff>171450</xdr:rowOff>
                  </to>
                </anchor>
              </controlPr>
            </control>
          </mc:Choice>
        </mc:AlternateContent>
        <mc:AlternateContent xmlns:mc="http://schemas.openxmlformats.org/markup-compatibility/2006">
          <mc:Choice Requires="x14">
            <control shapeId="11271" r:id="rId8" name="Drop Down 7">
              <controlPr defaultSize="0" autoLine="0" autoPict="0">
                <anchor moveWithCells="1">
                  <from>
                    <xdr:col>10</xdr:col>
                    <xdr:colOff>0</xdr:colOff>
                    <xdr:row>10</xdr:row>
                    <xdr:rowOff>190500</xdr:rowOff>
                  </from>
                  <to>
                    <xdr:col>14</xdr:col>
                    <xdr:colOff>31750</xdr:colOff>
                    <xdr:row>11</xdr:row>
                    <xdr:rowOff>184150</xdr:rowOff>
                  </to>
                </anchor>
              </controlPr>
            </control>
          </mc:Choice>
        </mc:AlternateContent>
        <mc:AlternateContent xmlns:mc="http://schemas.openxmlformats.org/markup-compatibility/2006">
          <mc:Choice Requires="x14">
            <control shapeId="11272" r:id="rId9" name="Check Box 8">
              <controlPr defaultSize="0" autoFill="0" autoLine="0" autoPict="0">
                <anchor moveWithCells="1">
                  <from>
                    <xdr:col>10</xdr:col>
                    <xdr:colOff>285750</xdr:colOff>
                    <xdr:row>13</xdr:row>
                    <xdr:rowOff>69850</xdr:rowOff>
                  </from>
                  <to>
                    <xdr:col>13</xdr:col>
                    <xdr:colOff>571500</xdr:colOff>
                    <xdr:row>14</xdr:row>
                    <xdr:rowOff>127000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A54852-C8F7-4F08-8850-E9720C3FF981}">
  <sheetPr codeName="Hoja2"/>
  <dimension ref="A3:L40"/>
  <sheetViews>
    <sheetView topLeftCell="F1" zoomScale="80" zoomScaleNormal="80" workbookViewId="0">
      <selection activeCell="F41" sqref="F41"/>
    </sheetView>
  </sheetViews>
  <sheetFormatPr defaultColWidth="10.90625" defaultRowHeight="14.5" x14ac:dyDescent="0.35"/>
  <cols>
    <col min="1" max="1" width="4.453125" bestFit="1" customWidth="1"/>
    <col min="2" max="2" width="33" customWidth="1"/>
    <col min="3" max="3" width="4.1796875" bestFit="1" customWidth="1"/>
    <col min="4" max="4" width="48.1796875" customWidth="1"/>
    <col min="5" max="5" width="4.453125" bestFit="1" customWidth="1"/>
    <col min="6" max="6" width="45.453125" customWidth="1"/>
    <col min="7" max="7" width="4.26953125" bestFit="1" customWidth="1"/>
    <col min="8" max="8" width="19" customWidth="1"/>
    <col min="9" max="9" width="26" customWidth="1"/>
    <col min="10" max="10" width="29.1796875" customWidth="1"/>
    <col min="11" max="11" width="23.453125" customWidth="1"/>
    <col min="12" max="12" width="103.7265625" bestFit="1" customWidth="1"/>
  </cols>
  <sheetData>
    <row r="3" spans="1:12" x14ac:dyDescent="0.35">
      <c r="A3" t="s">
        <v>60</v>
      </c>
      <c r="B3" t="s">
        <v>1</v>
      </c>
      <c r="C3" t="s">
        <v>60</v>
      </c>
      <c r="D3" t="s">
        <v>2</v>
      </c>
      <c r="E3" t="s">
        <v>60</v>
      </c>
      <c r="F3" s="22" t="s">
        <v>86</v>
      </c>
      <c r="G3" s="22" t="s">
        <v>60</v>
      </c>
      <c r="H3" t="s">
        <v>10</v>
      </c>
      <c r="I3" t="s">
        <v>9</v>
      </c>
      <c r="J3" s="22" t="s">
        <v>28</v>
      </c>
      <c r="K3" s="22" t="s">
        <v>30</v>
      </c>
      <c r="L3" s="22" t="s">
        <v>49</v>
      </c>
    </row>
    <row r="4" spans="1:12" x14ac:dyDescent="0.35">
      <c r="A4">
        <v>1</v>
      </c>
      <c r="B4" s="37" t="s">
        <v>108</v>
      </c>
      <c r="C4">
        <v>1</v>
      </c>
      <c r="D4" s="40" t="s">
        <v>114</v>
      </c>
      <c r="E4">
        <v>1</v>
      </c>
      <c r="F4" s="23" t="s">
        <v>77</v>
      </c>
      <c r="G4" s="36">
        <v>1</v>
      </c>
      <c r="H4" t="s">
        <v>11</v>
      </c>
      <c r="I4" t="s">
        <v>87</v>
      </c>
      <c r="J4" t="s">
        <v>29</v>
      </c>
      <c r="K4" t="s">
        <v>76</v>
      </c>
      <c r="L4" s="17" t="s">
        <v>50</v>
      </c>
    </row>
    <row r="5" spans="1:12" ht="17" x14ac:dyDescent="0.4">
      <c r="A5">
        <v>2</v>
      </c>
      <c r="B5" s="37" t="s">
        <v>3</v>
      </c>
      <c r="C5">
        <v>2</v>
      </c>
      <c r="D5" s="40" t="s">
        <v>115</v>
      </c>
      <c r="E5" s="1">
        <v>2</v>
      </c>
      <c r="F5" s="23" t="s">
        <v>78</v>
      </c>
      <c r="G5" s="36">
        <v>2</v>
      </c>
      <c r="H5" t="s">
        <v>13</v>
      </c>
      <c r="I5" t="s">
        <v>88</v>
      </c>
      <c r="J5" t="s">
        <v>32</v>
      </c>
      <c r="K5" t="s">
        <v>74</v>
      </c>
      <c r="L5" s="16" t="s">
        <v>51</v>
      </c>
    </row>
    <row r="6" spans="1:12" ht="17" x14ac:dyDescent="0.4">
      <c r="A6">
        <v>3</v>
      </c>
      <c r="B6" s="37" t="s">
        <v>6</v>
      </c>
      <c r="C6">
        <v>3</v>
      </c>
      <c r="D6" s="40" t="s">
        <v>116</v>
      </c>
      <c r="E6" s="39">
        <v>3</v>
      </c>
      <c r="F6" s="23" t="s">
        <v>79</v>
      </c>
      <c r="G6" s="36">
        <v>3</v>
      </c>
      <c r="H6" t="s">
        <v>12</v>
      </c>
      <c r="J6" t="s">
        <v>62</v>
      </c>
      <c r="K6" t="s">
        <v>75</v>
      </c>
      <c r="L6" s="18" t="s">
        <v>52</v>
      </c>
    </row>
    <row r="7" spans="1:12" x14ac:dyDescent="0.35">
      <c r="A7">
        <v>4</v>
      </c>
      <c r="B7" s="37" t="s">
        <v>109</v>
      </c>
      <c r="C7">
        <v>4</v>
      </c>
      <c r="D7" s="40" t="s">
        <v>117</v>
      </c>
      <c r="E7">
        <v>4</v>
      </c>
      <c r="F7" s="23" t="s">
        <v>80</v>
      </c>
      <c r="G7" s="36">
        <v>4</v>
      </c>
      <c r="H7" t="s">
        <v>91</v>
      </c>
      <c r="J7" t="s">
        <v>64</v>
      </c>
      <c r="K7" t="s">
        <v>140</v>
      </c>
      <c r="L7" s="19" t="s">
        <v>53</v>
      </c>
    </row>
    <row r="8" spans="1:12" ht="17" x14ac:dyDescent="0.4">
      <c r="A8">
        <v>5</v>
      </c>
      <c r="B8" s="37" t="s">
        <v>110</v>
      </c>
      <c r="C8">
        <v>5</v>
      </c>
      <c r="D8" s="40" t="s">
        <v>118</v>
      </c>
      <c r="E8" s="1">
        <v>5</v>
      </c>
      <c r="F8" s="23" t="s">
        <v>81</v>
      </c>
      <c r="G8" s="36">
        <v>5</v>
      </c>
      <c r="H8" t="s">
        <v>16</v>
      </c>
      <c r="J8" t="s">
        <v>63</v>
      </c>
      <c r="L8" s="18" t="s">
        <v>54</v>
      </c>
    </row>
    <row r="9" spans="1:12" ht="17" x14ac:dyDescent="0.4">
      <c r="A9">
        <v>6</v>
      </c>
      <c r="B9" s="37" t="s">
        <v>107</v>
      </c>
      <c r="C9">
        <v>6</v>
      </c>
      <c r="D9" s="40" t="s">
        <v>119</v>
      </c>
      <c r="E9" s="39">
        <v>6</v>
      </c>
      <c r="F9" s="23" t="s">
        <v>82</v>
      </c>
      <c r="G9" s="36">
        <v>6</v>
      </c>
      <c r="H9" t="s">
        <v>17</v>
      </c>
      <c r="J9" t="s">
        <v>33</v>
      </c>
      <c r="L9" s="15" t="s">
        <v>55</v>
      </c>
    </row>
    <row r="10" spans="1:12" x14ac:dyDescent="0.35">
      <c r="A10">
        <v>7</v>
      </c>
      <c r="B10" s="37" t="s">
        <v>7</v>
      </c>
      <c r="C10">
        <v>7</v>
      </c>
      <c r="D10" s="40" t="s">
        <v>120</v>
      </c>
      <c r="E10">
        <v>7</v>
      </c>
      <c r="F10" s="23" t="s">
        <v>83</v>
      </c>
      <c r="G10" s="36"/>
      <c r="L10" s="15" t="s">
        <v>56</v>
      </c>
    </row>
    <row r="11" spans="1:12" ht="17" x14ac:dyDescent="0.4">
      <c r="A11">
        <v>8</v>
      </c>
      <c r="B11" s="37" t="s">
        <v>111</v>
      </c>
      <c r="C11">
        <v>8</v>
      </c>
      <c r="D11" s="40" t="s">
        <v>121</v>
      </c>
      <c r="E11" s="1">
        <v>8</v>
      </c>
      <c r="F11" s="23" t="s">
        <v>84</v>
      </c>
      <c r="G11" s="36"/>
      <c r="L11" s="20" t="s">
        <v>57</v>
      </c>
    </row>
    <row r="12" spans="1:12" ht="17" x14ac:dyDescent="0.4">
      <c r="A12">
        <v>9</v>
      </c>
      <c r="B12" s="37" t="s">
        <v>112</v>
      </c>
      <c r="C12">
        <v>9</v>
      </c>
      <c r="D12" s="40" t="s">
        <v>122</v>
      </c>
      <c r="E12" s="39">
        <v>9</v>
      </c>
      <c r="F12" s="23" t="s">
        <v>85</v>
      </c>
      <c r="G12" s="36"/>
      <c r="L12" s="21" t="s">
        <v>58</v>
      </c>
    </row>
    <row r="13" spans="1:12" ht="17" x14ac:dyDescent="0.4">
      <c r="A13">
        <v>10</v>
      </c>
      <c r="B13" s="37" t="s">
        <v>113</v>
      </c>
      <c r="C13">
        <v>10</v>
      </c>
      <c r="D13" s="40" t="s">
        <v>123</v>
      </c>
      <c r="E13" s="1"/>
      <c r="L13" s="21" t="s">
        <v>59</v>
      </c>
    </row>
    <row r="14" spans="1:12" ht="17" x14ac:dyDescent="0.4">
      <c r="A14">
        <v>11</v>
      </c>
      <c r="B14" s="38" t="s">
        <v>73</v>
      </c>
      <c r="C14">
        <v>11</v>
      </c>
      <c r="D14" s="40" t="s">
        <v>124</v>
      </c>
      <c r="E14" s="1"/>
    </row>
    <row r="15" spans="1:12" ht="17" x14ac:dyDescent="0.4">
      <c r="A15">
        <v>12</v>
      </c>
      <c r="B15" t="s">
        <v>17</v>
      </c>
      <c r="C15">
        <v>12</v>
      </c>
      <c r="D15" s="40" t="s">
        <v>125</v>
      </c>
      <c r="E15" s="1"/>
      <c r="L15" s="24" t="s">
        <v>90</v>
      </c>
    </row>
    <row r="16" spans="1:12" ht="17" x14ac:dyDescent="0.4">
      <c r="C16">
        <v>13</v>
      </c>
      <c r="D16" s="40" t="s">
        <v>126</v>
      </c>
      <c r="E16" s="1"/>
    </row>
    <row r="17" spans="3:5" ht="17" x14ac:dyDescent="0.4">
      <c r="C17">
        <v>14</v>
      </c>
      <c r="D17" s="40" t="s">
        <v>127</v>
      </c>
      <c r="E17" s="1"/>
    </row>
    <row r="18" spans="3:5" ht="17" x14ac:dyDescent="0.4">
      <c r="C18">
        <v>15</v>
      </c>
      <c r="D18" s="40" t="s">
        <v>128</v>
      </c>
      <c r="E18" s="1"/>
    </row>
    <row r="19" spans="3:5" ht="17" x14ac:dyDescent="0.4">
      <c r="C19">
        <v>16</v>
      </c>
      <c r="D19" s="40" t="s">
        <v>129</v>
      </c>
      <c r="E19" s="1"/>
    </row>
    <row r="20" spans="3:5" ht="17" x14ac:dyDescent="0.4">
      <c r="C20">
        <v>17</v>
      </c>
      <c r="D20" s="40" t="s">
        <v>130</v>
      </c>
      <c r="E20" s="1"/>
    </row>
    <row r="21" spans="3:5" ht="17" x14ac:dyDescent="0.4">
      <c r="C21">
        <v>18</v>
      </c>
      <c r="D21" s="40" t="s">
        <v>131</v>
      </c>
      <c r="E21" s="1"/>
    </row>
    <row r="22" spans="3:5" ht="17" x14ac:dyDescent="0.4">
      <c r="C22">
        <v>19</v>
      </c>
      <c r="D22" s="40" t="s">
        <v>132</v>
      </c>
      <c r="E22" s="1"/>
    </row>
    <row r="23" spans="3:5" ht="17" x14ac:dyDescent="0.4">
      <c r="C23">
        <v>20</v>
      </c>
      <c r="D23" s="40" t="s">
        <v>133</v>
      </c>
      <c r="E23" s="1"/>
    </row>
    <row r="24" spans="3:5" ht="17" x14ac:dyDescent="0.4">
      <c r="C24">
        <v>21</v>
      </c>
      <c r="D24" s="40" t="s">
        <v>134</v>
      </c>
      <c r="E24" s="1"/>
    </row>
    <row r="25" spans="3:5" ht="17" x14ac:dyDescent="0.4">
      <c r="C25">
        <v>22</v>
      </c>
      <c r="D25" s="40" t="s">
        <v>135</v>
      </c>
      <c r="E25" s="1"/>
    </row>
    <row r="26" spans="3:5" ht="17" x14ac:dyDescent="0.4">
      <c r="C26">
        <v>23</v>
      </c>
      <c r="D26" s="40" t="s">
        <v>129</v>
      </c>
      <c r="E26" s="1"/>
    </row>
    <row r="27" spans="3:5" ht="17" x14ac:dyDescent="0.4">
      <c r="C27">
        <v>24</v>
      </c>
      <c r="D27" s="40" t="s">
        <v>136</v>
      </c>
      <c r="E27" s="1"/>
    </row>
    <row r="28" spans="3:5" ht="17" x14ac:dyDescent="0.4">
      <c r="C28">
        <v>25</v>
      </c>
      <c r="D28" s="40" t="s">
        <v>137</v>
      </c>
      <c r="E28" s="1"/>
    </row>
    <row r="29" spans="3:5" ht="17" x14ac:dyDescent="0.4">
      <c r="C29">
        <v>26</v>
      </c>
      <c r="D29" s="40" t="s">
        <v>138</v>
      </c>
      <c r="E29" s="1"/>
    </row>
    <row r="30" spans="3:5" ht="17" x14ac:dyDescent="0.4">
      <c r="C30">
        <v>27</v>
      </c>
      <c r="D30" t="s">
        <v>141</v>
      </c>
      <c r="E30" s="1"/>
    </row>
    <row r="31" spans="3:5" ht="17" x14ac:dyDescent="0.4">
      <c r="C31">
        <v>28</v>
      </c>
      <c r="E31" s="1"/>
    </row>
    <row r="32" spans="3:5" ht="17" x14ac:dyDescent="0.4">
      <c r="C32">
        <v>29</v>
      </c>
      <c r="E32" s="1"/>
    </row>
    <row r="33" spans="3:5" ht="17" x14ac:dyDescent="0.4">
      <c r="C33">
        <v>28</v>
      </c>
      <c r="D33" s="80" t="s">
        <v>142</v>
      </c>
      <c r="E33" s="1"/>
    </row>
    <row r="34" spans="3:5" ht="17" x14ac:dyDescent="0.4">
      <c r="C34">
        <v>29</v>
      </c>
      <c r="D34" t="s">
        <v>143</v>
      </c>
      <c r="E34" s="1"/>
    </row>
    <row r="35" spans="3:5" ht="17" x14ac:dyDescent="0.4">
      <c r="C35">
        <v>30</v>
      </c>
      <c r="D35" t="s">
        <v>144</v>
      </c>
      <c r="E35" s="1"/>
    </row>
    <row r="36" spans="3:5" ht="17" x14ac:dyDescent="0.4">
      <c r="C36">
        <v>31</v>
      </c>
      <c r="D36" t="s">
        <v>145</v>
      </c>
      <c r="E36" s="1"/>
    </row>
    <row r="37" spans="3:5" ht="17" x14ac:dyDescent="0.4">
      <c r="C37">
        <v>32</v>
      </c>
      <c r="D37" t="s">
        <v>146</v>
      </c>
      <c r="E37" s="1"/>
    </row>
    <row r="38" spans="3:5" x14ac:dyDescent="0.35">
      <c r="C38">
        <v>33</v>
      </c>
      <c r="D38" t="s">
        <v>147</v>
      </c>
    </row>
    <row r="39" spans="3:5" x14ac:dyDescent="0.35">
      <c r="C39">
        <v>34</v>
      </c>
      <c r="D39" t="s">
        <v>148</v>
      </c>
    </row>
    <row r="40" spans="3:5" x14ac:dyDescent="0.35">
      <c r="C40">
        <v>35</v>
      </c>
      <c r="D40" t="s">
        <v>149</v>
      </c>
    </row>
  </sheetData>
  <sortState xmlns:xlrd2="http://schemas.microsoft.com/office/spreadsheetml/2017/richdata2" ref="D5:D33">
    <sortCondition ref="D5:D33"/>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Control de Cambios</vt:lpstr>
      <vt:lpstr>Solicitud de Pruebas V4</vt:lpstr>
      <vt:lpstr>Instructivo</vt:lpstr>
      <vt:lpstr>Ejemplo</vt:lpstr>
      <vt:lpstr>Utileria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BID</dc:creator>
  <cp:lastModifiedBy>BID-eduardo.hernande</cp:lastModifiedBy>
  <dcterms:created xsi:type="dcterms:W3CDTF">2021-03-26T01:34:28Z</dcterms:created>
  <dcterms:modified xsi:type="dcterms:W3CDTF">2026-03-03T17:14:10Z</dcterms:modified>
</cp:coreProperties>
</file>